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10f4a09bcef627/Documents/GitHub/XD_Grad_Portfolio/models/"/>
    </mc:Choice>
  </mc:AlternateContent>
  <xr:revisionPtr revIDLastSave="814" documentId="8_{03E98026-E5C0-4EE9-B1A4-ED0B6BC034C7}" xr6:coauthVersionLast="47" xr6:coauthVersionMax="47" xr10:uidLastSave="{4433886C-081E-4B0B-8D7E-757F4A247425}"/>
  <bookViews>
    <workbookView xWindow="-108" yWindow="-108" windowWidth="23256" windowHeight="12456" activeTab="1" xr2:uid="{6F36A4A9-635C-494E-BE77-27E5FD1262DF}"/>
  </bookViews>
  <sheets>
    <sheet name="Comparable Companies" sheetId="1" r:id="rId1"/>
    <sheet name="Precedent Transaction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6" i="2"/>
  <c r="H8" i="2" l="1"/>
  <c r="H7" i="2"/>
  <c r="G6" i="2"/>
  <c r="F6" i="2"/>
  <c r="G5" i="2"/>
  <c r="F5" i="2"/>
  <c r="G4" i="2"/>
  <c r="F4" i="2"/>
  <c r="I31" i="2"/>
  <c r="E15" i="2"/>
  <c r="H11" i="2" l="1"/>
  <c r="H10" i="2"/>
  <c r="H15" i="2" l="1"/>
  <c r="H19" i="2" s="1"/>
  <c r="H23" i="2" s="1"/>
  <c r="G15" i="2"/>
  <c r="F15" i="2"/>
  <c r="D15" i="2"/>
  <c r="C15" i="2"/>
  <c r="F30" i="2" s="1"/>
  <c r="G10" i="2"/>
  <c r="G18" i="2" s="1"/>
  <c r="G22" i="2" s="1"/>
  <c r="G26" i="2" s="1"/>
  <c r="F10" i="2"/>
  <c r="F18" i="2" s="1"/>
  <c r="F22" i="2" s="1"/>
  <c r="F26" i="2" s="1"/>
  <c r="G11" i="2"/>
  <c r="G19" i="2" s="1"/>
  <c r="G23" i="2" s="1"/>
  <c r="G27" i="2" s="1"/>
  <c r="F11" i="2"/>
  <c r="F19" i="2" s="1"/>
  <c r="F23" i="2" s="1"/>
  <c r="F27" i="2" s="1"/>
  <c r="G9" i="2"/>
  <c r="G17" i="2" s="1"/>
  <c r="G21" i="2" s="1"/>
  <c r="G25" i="2" s="1"/>
  <c r="F9" i="2"/>
  <c r="F17" i="2" s="1"/>
  <c r="F21" i="2" s="1"/>
  <c r="F25" i="2" s="1"/>
  <c r="F28" i="2" s="1"/>
  <c r="C21" i="1"/>
  <c r="J9" i="1"/>
  <c r="I9" i="1"/>
  <c r="H9" i="1"/>
  <c r="G9" i="1"/>
  <c r="F9" i="1"/>
  <c r="J8" i="1"/>
  <c r="O8" i="1" s="1"/>
  <c r="I8" i="1"/>
  <c r="H8" i="1"/>
  <c r="G8" i="1"/>
  <c r="D7" i="1"/>
  <c r="E7" i="1"/>
  <c r="J7" i="1"/>
  <c r="O7" i="1" s="1"/>
  <c r="I7" i="1"/>
  <c r="H7" i="1"/>
  <c r="G7" i="1"/>
  <c r="C8" i="1"/>
  <c r="K5" i="1"/>
  <c r="L5" i="1"/>
  <c r="M5" i="1"/>
  <c r="O5" i="1"/>
  <c r="K6" i="1"/>
  <c r="L6" i="1"/>
  <c r="M6" i="1"/>
  <c r="O6" i="1"/>
  <c r="N6" i="1" s="1"/>
  <c r="O4" i="1"/>
  <c r="N4" i="1" s="1"/>
  <c r="M4" i="1"/>
  <c r="L4" i="1"/>
  <c r="K4" i="1"/>
  <c r="C7" i="1"/>
  <c r="C9" i="1"/>
  <c r="K31" i="1" s="1"/>
  <c r="E8" i="1"/>
  <c r="D8" i="1"/>
  <c r="H17" i="2" l="1"/>
  <c r="H21" i="2" s="1"/>
  <c r="H25" i="2" s="1"/>
  <c r="H18" i="2"/>
  <c r="H22" i="2" s="1"/>
  <c r="H26" i="2" s="1"/>
  <c r="H27" i="2"/>
  <c r="G28" i="2"/>
  <c r="G31" i="2" s="1"/>
  <c r="G32" i="2" s="1"/>
  <c r="L8" i="1"/>
  <c r="O9" i="1"/>
  <c r="N8" i="1"/>
  <c r="O13" i="1"/>
  <c r="O15" i="1"/>
  <c r="O11" i="1"/>
  <c r="O10" i="1"/>
  <c r="O16" i="1"/>
  <c r="N7" i="1"/>
  <c r="O12" i="1"/>
  <c r="K8" i="1"/>
  <c r="M8" i="1"/>
  <c r="N5" i="1"/>
  <c r="O14" i="1"/>
  <c r="K7" i="1"/>
  <c r="L7" i="1"/>
  <c r="L13" i="1" s="1"/>
  <c r="L20" i="1" s="1"/>
  <c r="L24" i="1" s="1"/>
  <c r="L28" i="1" s="1"/>
  <c r="M7" i="1"/>
  <c r="H28" i="2" l="1"/>
  <c r="F31" i="2"/>
  <c r="F32" i="2" s="1"/>
  <c r="H31" i="2"/>
  <c r="H32" i="2" s="1"/>
  <c r="M11" i="1"/>
  <c r="L16" i="1"/>
  <c r="N13" i="1"/>
  <c r="K11" i="1"/>
  <c r="L11" i="1"/>
  <c r="M13" i="1"/>
  <c r="M20" i="1" s="1"/>
  <c r="M24" i="1" s="1"/>
  <c r="M28" i="1" s="1"/>
  <c r="L10" i="1"/>
  <c r="K16" i="1"/>
  <c r="N15" i="1"/>
  <c r="N28" i="1" s="1"/>
  <c r="N24" i="1" s="1"/>
  <c r="N20" i="1" s="1"/>
  <c r="L15" i="1"/>
  <c r="M10" i="1"/>
  <c r="K13" i="1"/>
  <c r="K20" i="1" s="1"/>
  <c r="K24" i="1" s="1"/>
  <c r="K28" i="1" s="1"/>
  <c r="N11" i="1"/>
  <c r="N12" i="1"/>
  <c r="N26" i="1" s="1"/>
  <c r="N22" i="1" s="1"/>
  <c r="N18" i="1" s="1"/>
  <c r="N16" i="1"/>
  <c r="M16" i="1"/>
  <c r="M15" i="1"/>
  <c r="N10" i="1"/>
  <c r="K14" i="1"/>
  <c r="K19" i="1" s="1"/>
  <c r="K23" i="1" s="1"/>
  <c r="K27" i="1" s="1"/>
  <c r="K15" i="1"/>
  <c r="K10" i="1"/>
  <c r="N14" i="1"/>
  <c r="N27" i="1" s="1"/>
  <c r="N23" i="1" s="1"/>
  <c r="N19" i="1" s="1"/>
  <c r="K12" i="1"/>
  <c r="K18" i="1" s="1"/>
  <c r="K22" i="1" s="1"/>
  <c r="K26" i="1" s="1"/>
  <c r="M14" i="1"/>
  <c r="M19" i="1" s="1"/>
  <c r="M23" i="1" s="1"/>
  <c r="M27" i="1" s="1"/>
  <c r="M12" i="1"/>
  <c r="M18" i="1" s="1"/>
  <c r="M22" i="1" s="1"/>
  <c r="M26" i="1" s="1"/>
  <c r="L14" i="1"/>
  <c r="L19" i="1" s="1"/>
  <c r="L23" i="1" s="1"/>
  <c r="L27" i="1" s="1"/>
  <c r="L12" i="1"/>
  <c r="L18" i="1" s="1"/>
  <c r="L22" i="1" s="1"/>
  <c r="L26" i="1" s="1"/>
  <c r="L29" i="1" s="1"/>
  <c r="L32" i="1" s="1"/>
  <c r="L33" i="1" s="1"/>
  <c r="N29" i="1" l="1"/>
  <c r="N32" i="1" s="1"/>
  <c r="N33" i="1" s="1"/>
  <c r="M29" i="1"/>
  <c r="M32" i="1" s="1"/>
  <c r="M33" i="1" s="1"/>
  <c r="K29" i="1"/>
  <c r="K32" i="1" s="1"/>
  <c r="K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Davis</author>
  </authors>
  <commentList>
    <comment ref="B2" authorId="0" shapeId="0" xr:uid="{71C60926-1B35-459A-885C-25364ECD4E1C}">
      <text>
        <r>
          <rPr>
            <b/>
            <sz val="9"/>
            <color indexed="81"/>
            <rFont val="Tahoma"/>
            <family val="2"/>
          </rPr>
          <t>Xavier Davis:</t>
        </r>
        <r>
          <rPr>
            <sz val="9"/>
            <color indexed="81"/>
            <rFont val="Tahoma"/>
            <family val="2"/>
          </rPr>
          <t xml:space="preserve">
This data would usually use TTM but as this wasn't used for S&amp;N LTM will be used instead</t>
        </r>
      </text>
    </comment>
    <comment ref="B3" authorId="0" shapeId="0" xr:uid="{952B0E5B-3F12-43AD-8714-BC686CE3E86A}">
      <text>
        <r>
          <rPr>
            <b/>
            <sz val="9"/>
            <color indexed="81"/>
            <rFont val="Tahoma"/>
            <charset val="1"/>
          </rPr>
          <t>Xavier Davis:</t>
        </r>
        <r>
          <rPr>
            <sz val="9"/>
            <color indexed="81"/>
            <rFont val="Tahoma"/>
            <charset val="1"/>
          </rPr>
          <t xml:space="preserve">
All Comparables taken from peers stated by S&amp;N on the investors page of their website: https://www.smith-nephew.com/en/who-we-are/investors/shareholder-resources#sharepricechart</t>
        </r>
      </text>
    </comment>
    <comment ref="J29" authorId="0" shapeId="0" xr:uid="{FE4C1B06-8D6C-4DF8-AF9F-0BBE3129AE44}">
      <text>
        <r>
          <rPr>
            <b/>
            <sz val="9"/>
            <color indexed="81"/>
            <rFont val="Tahoma"/>
            <family val="2"/>
          </rPr>
          <t>Xavier Davis:</t>
        </r>
        <r>
          <rPr>
            <sz val="9"/>
            <color indexed="81"/>
            <rFont val="Tahoma"/>
            <family val="2"/>
          </rPr>
          <t xml:space="preserve">
Usually would use average of harmonic mean and median but due to mean not showing too heavy kurtosis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Davis</author>
  </authors>
  <commentList>
    <comment ref="B2" authorId="0" shapeId="0" xr:uid="{3119AFBE-D221-4DEE-8128-6137349A7A10}">
      <text>
        <r>
          <rPr>
            <b/>
            <sz val="9"/>
            <color indexed="81"/>
            <rFont val="Tahoma"/>
            <family val="2"/>
          </rPr>
          <t>Xavier Davis: 
All data using LTM at announcement date, non inflation adjusted</t>
        </r>
      </text>
    </comment>
    <comment ref="H4" authorId="0" shapeId="0" xr:uid="{CD536EC1-43CA-4401-8F0E-355DE0A04E52}">
      <text>
        <r>
          <rPr>
            <b/>
            <sz val="9"/>
            <color indexed="81"/>
            <rFont val="Tahoma"/>
            <family val="2"/>
          </rPr>
          <t>Xavier Davis:</t>
        </r>
        <r>
          <rPr>
            <sz val="9"/>
            <color indexed="81"/>
            <rFont val="Tahoma"/>
            <family val="2"/>
          </rPr>
          <t xml:space="preserve">
private company, non disclosed for deal period
</t>
        </r>
      </text>
    </comment>
    <comment ref="H5" authorId="0" shapeId="0" xr:uid="{7A534839-A76C-4FC2-8096-B3860EC0A3C7}">
      <text>
        <r>
          <rPr>
            <b/>
            <sz val="9"/>
            <color indexed="81"/>
            <rFont val="Tahoma"/>
            <family val="2"/>
          </rPr>
          <t>Xavier Davis:</t>
        </r>
        <r>
          <rPr>
            <sz val="9"/>
            <color indexed="81"/>
            <rFont val="Tahoma"/>
            <family val="2"/>
          </rPr>
          <t xml:space="preserve">
EBIT only 9 month published in 2016 for some reason</t>
        </r>
      </text>
    </comment>
    <comment ref="H6" authorId="0" shapeId="0" xr:uid="{A115C98E-7F94-4305-AF39-56F6FCBEB086}">
      <text>
        <r>
          <rPr>
            <b/>
            <sz val="9"/>
            <color indexed="81"/>
            <rFont val="Tahoma"/>
            <family val="2"/>
          </rPr>
          <t>Xavier Davis:</t>
        </r>
        <r>
          <rPr>
            <sz val="9"/>
            <color indexed="81"/>
            <rFont val="Tahoma"/>
            <family val="2"/>
          </rPr>
          <t xml:space="preserve">
ridiculously high D&amp;A has been validated, this data point has been excluded
</t>
        </r>
      </text>
    </comment>
  </commentList>
</comments>
</file>

<file path=xl/sharedStrings.xml><?xml version="1.0" encoding="utf-8"?>
<sst xmlns="http://schemas.openxmlformats.org/spreadsheetml/2006/main" count="99" uniqueCount="66">
  <si>
    <t>Stryker</t>
  </si>
  <si>
    <t>Zimmer Biomet</t>
  </si>
  <si>
    <t>Johnson &amp; Johnson</t>
  </si>
  <si>
    <t>Coloplast</t>
  </si>
  <si>
    <t>Convatec</t>
  </si>
  <si>
    <t>Company</t>
  </si>
  <si>
    <t>Price</t>
  </si>
  <si>
    <t>Market Cap</t>
  </si>
  <si>
    <t>TEV</t>
  </si>
  <si>
    <t>Market Data</t>
  </si>
  <si>
    <t>Sales</t>
  </si>
  <si>
    <t>EBITDA</t>
  </si>
  <si>
    <t>EBIT</t>
  </si>
  <si>
    <t>Financial Data</t>
  </si>
  <si>
    <t>Valuation</t>
  </si>
  <si>
    <t>GBP/USD:</t>
  </si>
  <si>
    <t>Net Income</t>
  </si>
  <si>
    <t>Shares Outstanding</t>
  </si>
  <si>
    <t>EPS</t>
  </si>
  <si>
    <t>Smith and Nephew</t>
  </si>
  <si>
    <t>DKK/USD</t>
  </si>
  <si>
    <t>Median</t>
  </si>
  <si>
    <t>Mean</t>
  </si>
  <si>
    <t>PE</t>
  </si>
  <si>
    <t>Miniumum</t>
  </si>
  <si>
    <t>25th Percentile</t>
  </si>
  <si>
    <t>75th Percentile</t>
  </si>
  <si>
    <t>Maximum</t>
  </si>
  <si>
    <t xml:space="preserve">Implied Valuation: Smith and Nephew </t>
  </si>
  <si>
    <t>TEV/Sales</t>
  </si>
  <si>
    <t>TEV/EBITDA</t>
  </si>
  <si>
    <t>TEV/EBIT</t>
  </si>
  <si>
    <t>Implied TEV</t>
  </si>
  <si>
    <t>Net Debt:</t>
  </si>
  <si>
    <t>Implied Equity Value</t>
  </si>
  <si>
    <t>Harmonic Mean</t>
  </si>
  <si>
    <t>Average of Averages :</t>
  </si>
  <si>
    <t>Current Price:</t>
  </si>
  <si>
    <t>Upside:</t>
  </si>
  <si>
    <t>Price Difference:</t>
  </si>
  <si>
    <t>Date</t>
  </si>
  <si>
    <t>Target</t>
  </si>
  <si>
    <t>Buyer</t>
  </si>
  <si>
    <t>Valuation Metrics</t>
  </si>
  <si>
    <t>EV/Sales</t>
  </si>
  <si>
    <t>EV/EBITDA</t>
  </si>
  <si>
    <t>EV/EBIT</t>
  </si>
  <si>
    <t>Acelity</t>
  </si>
  <si>
    <t>BSN Medical</t>
  </si>
  <si>
    <t>Wright Medical</t>
  </si>
  <si>
    <t>Hillrom</t>
  </si>
  <si>
    <t>ArthroCare</t>
  </si>
  <si>
    <t>Transaction Value ($MM)</t>
  </si>
  <si>
    <t>EUR/USD</t>
  </si>
  <si>
    <t>3M</t>
  </si>
  <si>
    <t>Essity (formerly SCA)</t>
  </si>
  <si>
    <t>Baxter</t>
  </si>
  <si>
    <t>Smith &amp; Nephew</t>
  </si>
  <si>
    <t>Relative Valuation</t>
  </si>
  <si>
    <t>Share Price</t>
  </si>
  <si>
    <t>Implied EV</t>
  </si>
  <si>
    <t>Net Debt</t>
  </si>
  <si>
    <t>Implied Share Price</t>
  </si>
  <si>
    <t>Implied  Share Price</t>
  </si>
  <si>
    <t>Average of Averages</t>
  </si>
  <si>
    <t>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</si>
</sst>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;[Red]0.00;\-"/>
    <numFmt numFmtId="165" formatCode="0;\(0\);\-"/>
    <numFmt numFmtId="166" formatCode="0.00;\(0.00\);\-"/>
    <numFmt numFmtId="167" formatCode="#,##0.00&quot;x&quot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FFFF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u val="singleAccounting"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rgb="FF0000FF"/>
      <name val="Aptos Narrow"/>
      <family val="2"/>
      <scheme val="minor"/>
    </font>
    <font>
      <u val="singleAccounting"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u val="singleAccounting"/>
      <sz val="11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1182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43">
    <xf numFmtId="0" fontId="0" fillId="0" borderId="0" xfId="0"/>
    <xf numFmtId="0" fontId="5" fillId="3" borderId="2" xfId="0" applyFont="1" applyFill="1" applyBorder="1"/>
    <xf numFmtId="0" fontId="0" fillId="4" borderId="0" xfId="0" applyFill="1" applyAlignment="1">
      <alignment horizontal="centerContinuous"/>
    </xf>
    <xf numFmtId="0" fontId="2" fillId="4" borderId="0" xfId="0" applyFont="1" applyFill="1"/>
    <xf numFmtId="0" fontId="8" fillId="4" borderId="0" xfId="0" applyFont="1" applyFill="1" applyAlignment="1">
      <alignment horizontal="centerContinuous"/>
    </xf>
    <xf numFmtId="0" fontId="2" fillId="4" borderId="0" xfId="0" applyFont="1" applyFill="1" applyAlignment="1">
      <alignment horizontal="centerContinuous"/>
    </xf>
    <xf numFmtId="0" fontId="0" fillId="2" borderId="1" xfId="2" applyFont="1"/>
    <xf numFmtId="0" fontId="0" fillId="2" borderId="1" xfId="2" applyFont="1" applyAlignment="1">
      <alignment horizontal="left"/>
    </xf>
    <xf numFmtId="0" fontId="5" fillId="3" borderId="0" xfId="0" applyFont="1" applyFill="1"/>
    <xf numFmtId="0" fontId="0" fillId="5" borderId="0" xfId="0" applyFill="1"/>
    <xf numFmtId="0" fontId="0" fillId="6" borderId="0" xfId="0" applyFill="1"/>
    <xf numFmtId="164" fontId="10" fillId="5" borderId="0" xfId="0" applyNumberFormat="1" applyFont="1" applyFill="1"/>
    <xf numFmtId="1" fontId="0" fillId="5" borderId="0" xfId="0" applyNumberFormat="1" applyFill="1"/>
    <xf numFmtId="165" fontId="10" fillId="0" borderId="0" xfId="0" applyNumberFormat="1" applyFont="1"/>
    <xf numFmtId="166" fontId="10" fillId="0" borderId="0" xfId="0" applyNumberFormat="1" applyFont="1"/>
    <xf numFmtId="2" fontId="0" fillId="0" borderId="0" xfId="0" applyNumberFormat="1"/>
    <xf numFmtId="2" fontId="0" fillId="5" borderId="0" xfId="0" applyNumberFormat="1" applyFill="1"/>
    <xf numFmtId="165" fontId="10" fillId="6" borderId="0" xfId="0" applyNumberFormat="1" applyFont="1" applyFill="1"/>
    <xf numFmtId="1" fontId="0" fillId="6" borderId="0" xfId="0" applyNumberFormat="1" applyFill="1"/>
    <xf numFmtId="0" fontId="0" fillId="7" borderId="0" xfId="0" applyFill="1"/>
    <xf numFmtId="2" fontId="0" fillId="7" borderId="0" xfId="0" applyNumberFormat="1" applyFill="1"/>
    <xf numFmtId="0" fontId="5" fillId="3" borderId="2" xfId="0" applyFont="1" applyFill="1" applyBorder="1" applyAlignment="1">
      <alignment horizontal="centerContinuous"/>
    </xf>
    <xf numFmtId="0" fontId="0" fillId="6" borderId="0" xfId="0" applyFill="1" applyAlignment="1">
      <alignment horizontal="centerContinuous"/>
    </xf>
    <xf numFmtId="0" fontId="0" fillId="7" borderId="0" xfId="0" applyFill="1" applyAlignment="1">
      <alignment horizontal="centerContinuous"/>
    </xf>
    <xf numFmtId="2" fontId="0" fillId="7" borderId="0" xfId="0" applyNumberFormat="1" applyFill="1" applyAlignment="1">
      <alignment horizontal="centerContinuous"/>
    </xf>
    <xf numFmtId="0" fontId="6" fillId="7" borderId="0" xfId="0" applyFont="1" applyFill="1" applyAlignment="1">
      <alignment horizontal="centerContinuous"/>
    </xf>
    <xf numFmtId="0" fontId="6" fillId="6" borderId="0" xfId="0" applyFont="1" applyFill="1" applyAlignment="1">
      <alignment horizontal="centerContinuous"/>
    </xf>
    <xf numFmtId="0" fontId="11" fillId="3" borderId="2" xfId="0" applyFont="1" applyFill="1" applyBorder="1" applyAlignment="1">
      <alignment horizontal="centerContinuous"/>
    </xf>
    <xf numFmtId="0" fontId="0" fillId="0" borderId="0" xfId="0" applyAlignment="1">
      <alignment horizontal="right"/>
    </xf>
    <xf numFmtId="166" fontId="0" fillId="7" borderId="0" xfId="0" applyNumberFormat="1" applyFill="1"/>
    <xf numFmtId="10" fontId="13" fillId="7" borderId="0" xfId="1" applyNumberFormat="1" applyFont="1" applyFill="1"/>
    <xf numFmtId="10" fontId="12" fillId="7" borderId="0" xfId="1" applyNumberFormat="1" applyFont="1" applyFill="1"/>
    <xf numFmtId="17" fontId="0" fillId="0" borderId="0" xfId="0" applyNumberFormat="1"/>
    <xf numFmtId="0" fontId="6" fillId="0" borderId="0" xfId="0" applyFont="1" applyAlignment="1">
      <alignment horizontal="centerContinuous"/>
    </xf>
    <xf numFmtId="0" fontId="14" fillId="3" borderId="2" xfId="0" applyFont="1" applyFill="1" applyBorder="1" applyAlignment="1">
      <alignment horizontal="centerContinuous"/>
    </xf>
    <xf numFmtId="167" fontId="0" fillId="0" borderId="0" xfId="0" applyNumberFormat="1"/>
    <xf numFmtId="167" fontId="0" fillId="6" borderId="0" xfId="0" applyNumberFormat="1" applyFill="1"/>
    <xf numFmtId="167" fontId="0" fillId="5" borderId="0" xfId="0" applyNumberFormat="1" applyFill="1"/>
    <xf numFmtId="0" fontId="0" fillId="8" borderId="0" xfId="0" applyFill="1"/>
    <xf numFmtId="167" fontId="0" fillId="0" borderId="0" xfId="0" applyNumberFormat="1" applyAlignment="1">
      <alignment horizontal="right"/>
    </xf>
    <xf numFmtId="167" fontId="0" fillId="8" borderId="0" xfId="0" applyNumberFormat="1" applyFill="1" applyAlignment="1">
      <alignment horizontal="right"/>
    </xf>
    <xf numFmtId="0" fontId="14" fillId="3" borderId="2" xfId="0" applyFont="1" applyFill="1" applyBorder="1"/>
    <xf numFmtId="1" fontId="0" fillId="0" borderId="0" xfId="0" applyNumberFormat="1"/>
  </cellXfs>
  <cellStyles count="3">
    <cellStyle name="Normal" xfId="0" builtinId="0"/>
    <cellStyle name="Note" xfId="2" builtinId="1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b10f4a09bcef627/Documents/GitHub/XD_Grad_Portfolio/models/DCF_SN.xlsx" TargetMode="External"/><Relationship Id="rId1" Type="http://schemas.openxmlformats.org/officeDocument/2006/relationships/externalLinkPath" Target="DCF_S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b10f4a09bcef627/Documents/GitHub/XD_Grad_Portfolio/models/3_Statement_Model.xlsx" TargetMode="External"/><Relationship Id="rId1" Type="http://schemas.openxmlformats.org/officeDocument/2006/relationships/externalLinkPath" Target="3_Statement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"/>
      <sheetName val="SOTP"/>
      <sheetName val="rNPV"/>
    </sheetNames>
    <sheetDataSet>
      <sheetData sheetId="0">
        <row r="9">
          <cell r="I9">
            <v>36.82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ement"/>
      <sheetName val="Balance Sheet"/>
      <sheetName val="Cash Flow"/>
    </sheetNames>
    <sheetDataSet>
      <sheetData sheetId="0">
        <row r="2">
          <cell r="F2">
            <v>5810</v>
          </cell>
        </row>
        <row r="8">
          <cell r="F8">
            <v>886</v>
          </cell>
        </row>
        <row r="21">
          <cell r="F21">
            <v>412</v>
          </cell>
        </row>
        <row r="25">
          <cell r="F25">
            <v>876</v>
          </cell>
        </row>
        <row r="40">
          <cell r="F40">
            <v>1335</v>
          </cell>
        </row>
      </sheetData>
      <sheetData sheetId="1">
        <row r="49">
          <cell r="F49">
            <v>2986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3578-96B1-4D7B-B55B-1582E36903A2}">
  <dimension ref="B2:Q33"/>
  <sheetViews>
    <sheetView showGridLines="0" zoomScale="93" workbookViewId="0">
      <selection activeCell="P3" sqref="P3:Q3"/>
    </sheetView>
  </sheetViews>
  <sheetFormatPr defaultRowHeight="14.4" x14ac:dyDescent="0.3"/>
  <cols>
    <col min="2" max="2" width="33.5546875" bestFit="1" customWidth="1"/>
    <col min="4" max="4" width="10.109375" bestFit="1" customWidth="1"/>
    <col min="5" max="5" width="9.5546875" bestFit="1" customWidth="1"/>
    <col min="6" max="6" width="17.33203125" bestFit="1" customWidth="1"/>
    <col min="10" max="10" width="10.5546875" bestFit="1" customWidth="1"/>
    <col min="11" max="11" width="9.21875" bestFit="1" customWidth="1"/>
    <col min="12" max="12" width="10.5546875" bestFit="1" customWidth="1"/>
    <col min="13" max="13" width="8.21875" bestFit="1" customWidth="1"/>
  </cols>
  <sheetData>
    <row r="2" spans="2:17" ht="16.2" x14ac:dyDescent="0.45">
      <c r="B2" s="3"/>
      <c r="C2" s="4" t="s">
        <v>9</v>
      </c>
      <c r="D2" s="5"/>
      <c r="E2" s="5"/>
      <c r="F2" s="5"/>
      <c r="G2" s="4" t="s">
        <v>13</v>
      </c>
      <c r="H2" s="5"/>
      <c r="I2" s="5"/>
      <c r="J2" s="5"/>
      <c r="K2" s="4" t="s">
        <v>14</v>
      </c>
      <c r="L2" s="5"/>
      <c r="M2" s="5"/>
      <c r="N2" s="5"/>
      <c r="O2" s="2"/>
      <c r="P2" s="6" t="s">
        <v>15</v>
      </c>
      <c r="Q2" s="7">
        <v>1.3</v>
      </c>
    </row>
    <row r="3" spans="2:17" x14ac:dyDescent="0.3">
      <c r="B3" s="1" t="s">
        <v>5</v>
      </c>
      <c r="C3" s="1" t="s">
        <v>6</v>
      </c>
      <c r="D3" s="1" t="s">
        <v>7</v>
      </c>
      <c r="E3" s="1" t="s">
        <v>8</v>
      </c>
      <c r="F3" s="1" t="s">
        <v>17</v>
      </c>
      <c r="G3" s="1" t="s">
        <v>10</v>
      </c>
      <c r="H3" s="1" t="s">
        <v>11</v>
      </c>
      <c r="I3" s="1" t="s">
        <v>12</v>
      </c>
      <c r="J3" s="1" t="s">
        <v>16</v>
      </c>
      <c r="K3" s="1" t="s">
        <v>29</v>
      </c>
      <c r="L3" s="1" t="s">
        <v>30</v>
      </c>
      <c r="M3" s="1" t="s">
        <v>31</v>
      </c>
      <c r="N3" s="1" t="s">
        <v>23</v>
      </c>
      <c r="O3" s="8" t="s">
        <v>18</v>
      </c>
      <c r="P3" s="6" t="s">
        <v>20</v>
      </c>
      <c r="Q3" s="7">
        <v>0.16</v>
      </c>
    </row>
    <row r="4" spans="2:17" x14ac:dyDescent="0.3">
      <c r="B4" s="13" t="s">
        <v>0</v>
      </c>
      <c r="C4" s="14">
        <v>364.43</v>
      </c>
      <c r="D4" s="13">
        <v>139370</v>
      </c>
      <c r="E4" s="13">
        <v>152880</v>
      </c>
      <c r="F4" s="13">
        <v>386</v>
      </c>
      <c r="G4" s="13">
        <v>22595</v>
      </c>
      <c r="H4" s="13">
        <v>6006</v>
      </c>
      <c r="I4" s="13">
        <v>4956</v>
      </c>
      <c r="J4" s="13">
        <v>2993</v>
      </c>
      <c r="K4" s="35">
        <f>E4/G4</f>
        <v>6.7660986944014159</v>
      </c>
      <c r="L4" s="35">
        <f>E4/H4</f>
        <v>25.454545454545453</v>
      </c>
      <c r="M4" s="35">
        <f>E4/I4</f>
        <v>30.847457627118644</v>
      </c>
      <c r="N4" s="35">
        <f>C4/O4</f>
        <v>46.99965920481123</v>
      </c>
      <c r="O4" s="35">
        <f t="shared" ref="O4:O9" si="0">J4/F4</f>
        <v>7.7538860103626943</v>
      </c>
    </row>
    <row r="5" spans="2:17" x14ac:dyDescent="0.3">
      <c r="B5" t="s">
        <v>1</v>
      </c>
      <c r="C5" s="14">
        <v>88.35</v>
      </c>
      <c r="D5" s="13">
        <v>17510</v>
      </c>
      <c r="E5" s="13">
        <v>24470</v>
      </c>
      <c r="F5" s="13">
        <v>204</v>
      </c>
      <c r="G5" s="13">
        <v>7679</v>
      </c>
      <c r="H5" s="13">
        <v>2590</v>
      </c>
      <c r="I5" s="13">
        <v>1594</v>
      </c>
      <c r="J5" s="13">
        <v>903.8</v>
      </c>
      <c r="K5" s="35">
        <f>E5/G5</f>
        <v>3.1866128402135696</v>
      </c>
      <c r="L5" s="35">
        <f>E5/H5</f>
        <v>9.4478764478764479</v>
      </c>
      <c r="M5" s="35">
        <f>E5/I5</f>
        <v>15.351317440401505</v>
      </c>
      <c r="N5" s="35">
        <f>C5/O5</f>
        <v>19.941801283469797</v>
      </c>
      <c r="O5" s="35">
        <f t="shared" si="0"/>
        <v>4.4303921568627445</v>
      </c>
    </row>
    <row r="6" spans="2:17" x14ac:dyDescent="0.3">
      <c r="B6" t="s">
        <v>2</v>
      </c>
      <c r="C6" s="14">
        <v>194.15</v>
      </c>
      <c r="D6" s="13">
        <v>466580</v>
      </c>
      <c r="E6" s="13">
        <v>494230</v>
      </c>
      <c r="F6" s="13">
        <v>2429</v>
      </c>
      <c r="G6" s="13">
        <v>88821</v>
      </c>
      <c r="H6" s="13">
        <v>29940</v>
      </c>
      <c r="I6" s="13">
        <v>22601</v>
      </c>
      <c r="J6" s="13">
        <v>14066</v>
      </c>
      <c r="K6" s="35">
        <f>E6/G6</f>
        <v>5.5643372625842984</v>
      </c>
      <c r="L6" s="35">
        <f>E6/H6</f>
        <v>16.507348029392119</v>
      </c>
      <c r="M6" s="35">
        <f>E6/I6</f>
        <v>21.867616477147028</v>
      </c>
      <c r="N6" s="35">
        <f>C6/O6</f>
        <v>33.526969287643965</v>
      </c>
      <c r="O6" s="35">
        <f t="shared" si="0"/>
        <v>5.7908604363935776</v>
      </c>
    </row>
    <row r="7" spans="2:17" x14ac:dyDescent="0.3">
      <c r="B7" t="s">
        <v>3</v>
      </c>
      <c r="C7" s="14">
        <f>600.4*Q3</f>
        <v>96.063999999999993</v>
      </c>
      <c r="D7" s="13">
        <f>16000*Q2</f>
        <v>20800</v>
      </c>
      <c r="E7" s="13">
        <f>18560*Q2</f>
        <v>24128</v>
      </c>
      <c r="F7" s="13">
        <v>225</v>
      </c>
      <c r="G7" s="13">
        <f>27874*Q3</f>
        <v>4459.84</v>
      </c>
      <c r="H7" s="13">
        <f>8630*Q3</f>
        <v>1380.8</v>
      </c>
      <c r="I7" s="13">
        <f>7721*Q3</f>
        <v>1235.3600000000001</v>
      </c>
      <c r="J7" s="13">
        <f>3636*Q3</f>
        <v>581.76</v>
      </c>
      <c r="K7" s="35">
        <f>E7/G7</f>
        <v>5.4100595537059624</v>
      </c>
      <c r="L7" s="35">
        <f>E7/H7</f>
        <v>17.473928157589803</v>
      </c>
      <c r="M7" s="35">
        <f>E7/I7</f>
        <v>19.531148814920346</v>
      </c>
      <c r="N7" s="35">
        <f>C7/O7</f>
        <v>37.153465346534652</v>
      </c>
      <c r="O7" s="35">
        <f t="shared" si="0"/>
        <v>2.5855999999999999</v>
      </c>
    </row>
    <row r="8" spans="2:17" x14ac:dyDescent="0.3">
      <c r="B8" t="s">
        <v>4</v>
      </c>
      <c r="C8" s="14">
        <f>236.4/100*Q2</f>
        <v>3.0731999999999999</v>
      </c>
      <c r="D8" s="13">
        <f>4660*Q2</f>
        <v>6058</v>
      </c>
      <c r="E8" s="13">
        <f>5570*Q2</f>
        <v>7241</v>
      </c>
      <c r="F8" s="13">
        <v>2057</v>
      </c>
      <c r="G8" s="13">
        <f>2289</f>
        <v>2289</v>
      </c>
      <c r="H8" s="13">
        <f>527.9</f>
        <v>527.9</v>
      </c>
      <c r="I8" s="13">
        <f>350.7</f>
        <v>350.7</v>
      </c>
      <c r="J8" s="13">
        <f>190.5</f>
        <v>190.5</v>
      </c>
      <c r="K8" s="35">
        <f>E8/G8</f>
        <v>3.163390126692879</v>
      </c>
      <c r="L8" s="35">
        <f>E8/H8</f>
        <v>13.716612994885395</v>
      </c>
      <c r="M8" s="35">
        <f>E8/I8</f>
        <v>20.647276874821785</v>
      </c>
      <c r="N8" s="35">
        <f>C8/O8</f>
        <v>33.184107086614169</v>
      </c>
      <c r="O8" s="35">
        <f t="shared" si="0"/>
        <v>9.2610597958191543E-2</v>
      </c>
    </row>
    <row r="9" spans="2:17" x14ac:dyDescent="0.3">
      <c r="B9" t="s">
        <v>19</v>
      </c>
      <c r="C9" s="14">
        <f>[1]DCF!$I$9</f>
        <v>36.82</v>
      </c>
      <c r="D9" s="13"/>
      <c r="E9" s="13"/>
      <c r="F9" s="13">
        <f>'[2]Income Statement'!$F$25</f>
        <v>876</v>
      </c>
      <c r="G9" s="13">
        <f>'[2]Income Statement'!$F$2</f>
        <v>5810</v>
      </c>
      <c r="H9" s="13">
        <f>'[2]Income Statement'!$F$40</f>
        <v>1335</v>
      </c>
      <c r="I9" s="13">
        <f>'[2]Income Statement'!$F$8</f>
        <v>886</v>
      </c>
      <c r="J9" s="13">
        <f>'[2]Income Statement'!$F$21</f>
        <v>412</v>
      </c>
      <c r="K9" s="35"/>
      <c r="L9" s="35"/>
      <c r="M9" s="35"/>
      <c r="N9" s="35"/>
      <c r="O9" s="35">
        <f t="shared" si="0"/>
        <v>0.47031963470319632</v>
      </c>
    </row>
    <row r="10" spans="2:17" x14ac:dyDescent="0.3">
      <c r="B10" s="10" t="s">
        <v>24</v>
      </c>
      <c r="C10" s="10"/>
      <c r="D10" s="10"/>
      <c r="E10" s="10"/>
      <c r="F10" s="10"/>
      <c r="G10" s="10"/>
      <c r="H10" s="10"/>
      <c r="I10" s="10"/>
      <c r="J10" s="10"/>
      <c r="K10" s="36">
        <f>MIN(K4:K8)</f>
        <v>3.163390126692879</v>
      </c>
      <c r="L10" s="36">
        <f>MIN(L4:L8)</f>
        <v>9.4478764478764479</v>
      </c>
      <c r="M10" s="36">
        <f>MIN(M4:M8)</f>
        <v>15.351317440401505</v>
      </c>
      <c r="N10" s="36">
        <f>MIN(N4:N8)</f>
        <v>19.941801283469797</v>
      </c>
      <c r="O10" s="36">
        <f>MIN(O4:O8)</f>
        <v>9.2610597958191543E-2</v>
      </c>
    </row>
    <row r="11" spans="2:17" x14ac:dyDescent="0.3">
      <c r="B11" s="10" t="s">
        <v>25</v>
      </c>
      <c r="C11" s="10"/>
      <c r="D11" s="10"/>
      <c r="E11" s="10"/>
      <c r="F11" s="10"/>
      <c r="G11" s="10"/>
      <c r="H11" s="10"/>
      <c r="I11" s="10"/>
      <c r="J11" s="10"/>
      <c r="K11" s="36">
        <f>_xlfn.PERCENTILE.INC(K4:K8,0.25)</f>
        <v>3.1866128402135696</v>
      </c>
      <c r="L11" s="36">
        <f>_xlfn.PERCENTILE.INC(L4:L8,0.25)</f>
        <v>13.716612994885395</v>
      </c>
      <c r="M11" s="36">
        <f>_xlfn.PERCENTILE.INC(M4:M8,0.25)</f>
        <v>19.531148814920346</v>
      </c>
      <c r="N11" s="36">
        <f>_xlfn.PERCENTILE.INC(N4:N8,0.25)</f>
        <v>33.184107086614169</v>
      </c>
      <c r="O11" s="36">
        <f>_xlfn.PERCENTILE.INC(O4:O8,0.25)</f>
        <v>2.5855999999999999</v>
      </c>
    </row>
    <row r="12" spans="2:17" x14ac:dyDescent="0.3">
      <c r="B12" s="9" t="s">
        <v>21</v>
      </c>
      <c r="C12" s="9"/>
      <c r="D12" s="11"/>
      <c r="E12" s="11"/>
      <c r="F12" s="11"/>
      <c r="G12" s="9"/>
      <c r="H12" s="9"/>
      <c r="I12" s="9"/>
      <c r="J12" s="9"/>
      <c r="K12" s="37">
        <f>MEDIAN(K4:K8)</f>
        <v>5.4100595537059624</v>
      </c>
      <c r="L12" s="37">
        <f>MEDIAN(L4:L8)</f>
        <v>16.507348029392119</v>
      </c>
      <c r="M12" s="37">
        <f>MEDIAN(M4:M8)</f>
        <v>20.647276874821785</v>
      </c>
      <c r="N12" s="37">
        <f>MEDIAN(N4:N8)</f>
        <v>33.526969287643965</v>
      </c>
      <c r="O12" s="37">
        <f>MEDIAN(O4:O8)</f>
        <v>4.4303921568627445</v>
      </c>
    </row>
    <row r="13" spans="2:17" x14ac:dyDescent="0.3">
      <c r="B13" s="9" t="s">
        <v>35</v>
      </c>
      <c r="C13" s="9"/>
      <c r="D13" s="9"/>
      <c r="E13" s="9"/>
      <c r="F13" s="9"/>
      <c r="G13" s="9"/>
      <c r="H13" s="9"/>
      <c r="I13" s="9"/>
      <c r="J13" s="9"/>
      <c r="K13" s="37">
        <f>HARMEAN(K4:K8)</f>
        <v>4.3772035255364559</v>
      </c>
      <c r="L13" s="37">
        <f>HARMEAN(L4:L8)</f>
        <v>14.887993202058716</v>
      </c>
      <c r="M13" s="37">
        <f>HARMEAN(M4:M8)</f>
        <v>20.582815210404071</v>
      </c>
      <c r="N13" s="37">
        <f>HARMEAN(N4:N8)</f>
        <v>31.585656247129439</v>
      </c>
      <c r="O13" s="37">
        <f>HARMEAN(O4:O8)</f>
        <v>0.42691166279533649</v>
      </c>
    </row>
    <row r="14" spans="2:17" x14ac:dyDescent="0.3">
      <c r="B14" s="9" t="s">
        <v>22</v>
      </c>
      <c r="C14" s="9"/>
      <c r="D14" s="9"/>
      <c r="E14" s="9"/>
      <c r="F14" s="9"/>
      <c r="G14" s="9"/>
      <c r="H14" s="9"/>
      <c r="I14" s="9"/>
      <c r="J14" s="9"/>
      <c r="K14" s="37">
        <f>AVERAGE(K4:K8)</f>
        <v>4.8180996955196251</v>
      </c>
      <c r="L14" s="37">
        <f>AVERAGE(L4:L8)</f>
        <v>16.520062216857845</v>
      </c>
      <c r="M14" s="37">
        <f>AVERAGE(M4:M8)</f>
        <v>21.648963446881858</v>
      </c>
      <c r="N14" s="37">
        <f>AVERAGE(N4:N8)</f>
        <v>34.161200441814763</v>
      </c>
      <c r="O14" s="37">
        <f>AVERAGE(O4:O8)</f>
        <v>4.1306698403154414</v>
      </c>
    </row>
    <row r="15" spans="2:17" x14ac:dyDescent="0.3">
      <c r="B15" s="10" t="s">
        <v>26</v>
      </c>
      <c r="C15" s="10"/>
      <c r="D15" s="10"/>
      <c r="E15" s="10"/>
      <c r="F15" s="10"/>
      <c r="G15" s="10"/>
      <c r="H15" s="10"/>
      <c r="I15" s="10"/>
      <c r="J15" s="10"/>
      <c r="K15" s="36">
        <f>_xlfn.PERCENTILE.INC(K4:K8,0.75)</f>
        <v>5.5643372625842984</v>
      </c>
      <c r="L15" s="36">
        <f>_xlfn.PERCENTILE.INC(L4:L8,0.75)</f>
        <v>17.473928157589803</v>
      </c>
      <c r="M15" s="36">
        <f>_xlfn.PERCENTILE.INC(M4:M8,0.75)</f>
        <v>21.867616477147028</v>
      </c>
      <c r="N15" s="36">
        <f>_xlfn.PERCENTILE.INC(N4:N8,0.75)</f>
        <v>37.153465346534652</v>
      </c>
      <c r="O15" s="36">
        <f>_xlfn.PERCENTILE.INC(O4:O8,0.75)</f>
        <v>5.7908604363935776</v>
      </c>
    </row>
    <row r="16" spans="2:17" x14ac:dyDescent="0.3">
      <c r="B16" s="10" t="s">
        <v>27</v>
      </c>
      <c r="C16" s="10"/>
      <c r="D16" s="10"/>
      <c r="E16" s="10"/>
      <c r="F16" s="10"/>
      <c r="G16" s="10"/>
      <c r="H16" s="10"/>
      <c r="I16" s="10"/>
      <c r="J16" s="10"/>
      <c r="K16" s="36">
        <f>MAX(K4:K8)</f>
        <v>6.7660986944014159</v>
      </c>
      <c r="L16" s="36">
        <f>MAX(L4:L8)</f>
        <v>25.454545454545453</v>
      </c>
      <c r="M16" s="36">
        <f>MAX(M4:M8)</f>
        <v>30.847457627118644</v>
      </c>
      <c r="N16" s="36">
        <f>MAX(N4:N8)</f>
        <v>46.99965920481123</v>
      </c>
      <c r="O16" s="36">
        <f>MAX(O4:O8)</f>
        <v>7.7538860103626943</v>
      </c>
    </row>
    <row r="17" spans="2:15" ht="16.2" x14ac:dyDescent="0.45">
      <c r="B17" s="1" t="s">
        <v>28</v>
      </c>
      <c r="C17" s="1"/>
      <c r="D17" s="1"/>
      <c r="E17" s="1"/>
      <c r="F17" s="1"/>
      <c r="G17" s="1"/>
      <c r="H17" s="1"/>
      <c r="I17" s="1"/>
      <c r="J17" s="1"/>
      <c r="K17" s="27" t="s">
        <v>32</v>
      </c>
      <c r="L17" s="21"/>
      <c r="M17" s="21"/>
      <c r="N17" s="21"/>
      <c r="O17" s="21"/>
    </row>
    <row r="18" spans="2:15" x14ac:dyDescent="0.3">
      <c r="B18" s="9" t="s">
        <v>21</v>
      </c>
      <c r="C18" s="9"/>
      <c r="D18" s="9"/>
      <c r="E18" s="9"/>
      <c r="F18" s="9"/>
      <c r="G18" s="9"/>
      <c r="H18" s="9"/>
      <c r="I18" s="9"/>
      <c r="J18" s="9"/>
      <c r="K18" s="12">
        <f>K12*G9</f>
        <v>31432.446007031642</v>
      </c>
      <c r="L18" s="12">
        <f>L12*$H$9</f>
        <v>22037.30961923848</v>
      </c>
      <c r="M18" s="12">
        <f>M12*$I$9</f>
        <v>18293.4873110921</v>
      </c>
      <c r="N18" s="12">
        <f>N22-C19</f>
        <v>27626.222693018626</v>
      </c>
      <c r="O18" s="16"/>
    </row>
    <row r="19" spans="2:15" x14ac:dyDescent="0.3">
      <c r="B19" s="9" t="s">
        <v>22</v>
      </c>
      <c r="C19" s="9"/>
      <c r="D19" s="9"/>
      <c r="E19" s="9"/>
      <c r="F19" s="9"/>
      <c r="G19" s="9"/>
      <c r="H19" s="9"/>
      <c r="I19" s="9"/>
      <c r="J19" s="9"/>
      <c r="K19" s="12">
        <f>K14*G9</f>
        <v>27993.15923096902</v>
      </c>
      <c r="L19" s="12">
        <f>L14*$H$9</f>
        <v>22054.283059505222</v>
      </c>
      <c r="M19" s="12">
        <f>M14*$I$9</f>
        <v>19180.981613937325</v>
      </c>
      <c r="N19" s="12">
        <f>N23-C20</f>
        <v>28148.829164055362</v>
      </c>
      <c r="O19" s="12"/>
    </row>
    <row r="20" spans="2:15" x14ac:dyDescent="0.3">
      <c r="B20" s="9" t="s">
        <v>35</v>
      </c>
      <c r="C20" s="9"/>
      <c r="D20" s="9"/>
      <c r="E20" s="9"/>
      <c r="F20" s="9"/>
      <c r="G20" s="9"/>
      <c r="H20" s="9"/>
      <c r="I20" s="9"/>
      <c r="J20" s="9"/>
      <c r="K20" s="12">
        <f>K13*G9</f>
        <v>25431.55248336681</v>
      </c>
      <c r="L20" s="12">
        <f>L13*H9</f>
        <v>19875.470924748388</v>
      </c>
      <c r="M20" s="12">
        <f>M13*I9</f>
        <v>18236.374276418006</v>
      </c>
      <c r="N20" s="12">
        <f>N24-C21</f>
        <v>27628.45544554455</v>
      </c>
      <c r="O20" s="12"/>
    </row>
    <row r="21" spans="2:15" ht="16.2" x14ac:dyDescent="0.45">
      <c r="B21" s="10" t="s">
        <v>33</v>
      </c>
      <c r="C21" s="17">
        <f>'[2]Balance Sheet'!$F$49</f>
        <v>2986</v>
      </c>
      <c r="D21" s="10"/>
      <c r="E21" s="10"/>
      <c r="F21" s="10"/>
      <c r="G21" s="10"/>
      <c r="H21" s="10"/>
      <c r="I21" s="10"/>
      <c r="J21" s="10"/>
      <c r="K21" s="26" t="s">
        <v>34</v>
      </c>
      <c r="L21" s="22"/>
      <c r="M21" s="22"/>
      <c r="N21" s="22"/>
      <c r="O21" s="22"/>
    </row>
    <row r="22" spans="2:15" x14ac:dyDescent="0.3">
      <c r="B22" s="10" t="s">
        <v>21</v>
      </c>
      <c r="C22" s="10"/>
      <c r="D22" s="10"/>
      <c r="E22" s="10"/>
      <c r="F22" s="10"/>
      <c r="G22" s="10"/>
      <c r="H22" s="10"/>
      <c r="I22" s="10"/>
      <c r="J22" s="10"/>
      <c r="K22" s="18">
        <f>K18-$C$21</f>
        <v>28446.446007031642</v>
      </c>
      <c r="L22" s="18">
        <f t="shared" ref="L22:M22" si="1">L18-$C$21</f>
        <v>19051.30961923848</v>
      </c>
      <c r="M22" s="18">
        <f t="shared" si="1"/>
        <v>15307.4873110921</v>
      </c>
      <c r="N22" s="18">
        <f>N26*$F$9</f>
        <v>27626.222693018626</v>
      </c>
      <c r="O22" s="10"/>
    </row>
    <row r="23" spans="2:15" x14ac:dyDescent="0.3">
      <c r="B23" s="10" t="s">
        <v>22</v>
      </c>
      <c r="C23" s="10"/>
      <c r="D23" s="10"/>
      <c r="E23" s="10"/>
      <c r="F23" s="10"/>
      <c r="G23" s="10"/>
      <c r="H23" s="10"/>
      <c r="I23" s="10"/>
      <c r="J23" s="10"/>
      <c r="K23" s="18">
        <f t="shared" ref="K23:M23" si="2">K19-$C$21</f>
        <v>25007.15923096902</v>
      </c>
      <c r="L23" s="18">
        <f t="shared" si="2"/>
        <v>19068.283059505222</v>
      </c>
      <c r="M23" s="18">
        <f t="shared" si="2"/>
        <v>16194.981613937325</v>
      </c>
      <c r="N23" s="18">
        <f>N27*$F$9</f>
        <v>28148.829164055362</v>
      </c>
      <c r="O23" s="10"/>
    </row>
    <row r="24" spans="2:15" x14ac:dyDescent="0.3">
      <c r="B24" s="10" t="s">
        <v>35</v>
      </c>
      <c r="C24" s="10"/>
      <c r="D24" s="10"/>
      <c r="E24" s="10"/>
      <c r="F24" s="10"/>
      <c r="G24" s="10"/>
      <c r="H24" s="10"/>
      <c r="I24" s="10"/>
      <c r="J24" s="10"/>
      <c r="K24" s="18">
        <f t="shared" ref="K24:M24" si="3">K20-$C$21</f>
        <v>22445.55248336681</v>
      </c>
      <c r="L24" s="18">
        <f t="shared" si="3"/>
        <v>16889.470924748388</v>
      </c>
      <c r="M24" s="18">
        <f t="shared" si="3"/>
        <v>15250.374276418006</v>
      </c>
      <c r="N24" s="18">
        <f>N28*$F$9</f>
        <v>30614.45544554455</v>
      </c>
      <c r="O24" s="10"/>
    </row>
    <row r="25" spans="2:15" ht="16.2" x14ac:dyDescent="0.45">
      <c r="B25" s="19"/>
      <c r="C25" s="19"/>
      <c r="D25" s="19"/>
      <c r="E25" s="19"/>
      <c r="F25" s="19"/>
      <c r="G25" s="19"/>
      <c r="H25" s="19"/>
      <c r="I25" s="19"/>
      <c r="J25" s="19"/>
      <c r="K25" s="25" t="s">
        <v>62</v>
      </c>
      <c r="L25" s="23"/>
      <c r="M25" s="23"/>
      <c r="N25" s="24"/>
      <c r="O25" s="23"/>
    </row>
    <row r="26" spans="2:15" x14ac:dyDescent="0.3">
      <c r="B26" s="19" t="s">
        <v>21</v>
      </c>
      <c r="C26" s="19"/>
      <c r="D26" s="19"/>
      <c r="E26" s="19"/>
      <c r="F26" s="19"/>
      <c r="G26" s="19"/>
      <c r="H26" s="19"/>
      <c r="I26" s="19"/>
      <c r="J26" s="19"/>
      <c r="K26" s="20">
        <f>K22/$F$9*2</f>
        <v>64.946223760346214</v>
      </c>
      <c r="L26" s="20">
        <f>L22/$F$9*2</f>
        <v>43.496140683192877</v>
      </c>
      <c r="M26" s="20">
        <f>M22/$F$9*2</f>
        <v>34.948601166876941</v>
      </c>
      <c r="N26" s="20">
        <f>N12*$O$9*2</f>
        <v>31.536783896139983</v>
      </c>
      <c r="O26" s="19"/>
    </row>
    <row r="27" spans="2:15" x14ac:dyDescent="0.3">
      <c r="B27" s="19" t="s">
        <v>22</v>
      </c>
      <c r="C27" s="19"/>
      <c r="D27" s="19"/>
      <c r="E27" s="19"/>
      <c r="F27" s="19"/>
      <c r="G27" s="19"/>
      <c r="H27" s="19"/>
      <c r="I27" s="19"/>
      <c r="J27" s="19"/>
      <c r="K27" s="20">
        <f t="shared" ref="K27:M28" si="4">K23/$F$9*2</f>
        <v>57.093970846961234</v>
      </c>
      <c r="L27" s="20">
        <f t="shared" si="4"/>
        <v>43.534892829920601</v>
      </c>
      <c r="M27" s="20">
        <f t="shared" si="4"/>
        <v>36.974843867436817</v>
      </c>
      <c r="N27" s="20">
        <f>N14*$O$9*2</f>
        <v>32.133366625633975</v>
      </c>
      <c r="O27" s="19"/>
    </row>
    <row r="28" spans="2:15" x14ac:dyDescent="0.3">
      <c r="B28" s="19" t="s">
        <v>35</v>
      </c>
      <c r="K28" s="20">
        <f t="shared" si="4"/>
        <v>51.245553614992716</v>
      </c>
      <c r="L28" s="20">
        <f t="shared" si="4"/>
        <v>38.560435901252028</v>
      </c>
      <c r="M28" s="20">
        <f t="shared" si="4"/>
        <v>34.818206110543393</v>
      </c>
      <c r="N28" s="20">
        <f>N15*$O$9*2</f>
        <v>34.948008499480082</v>
      </c>
    </row>
    <row r="29" spans="2:15" x14ac:dyDescent="0.3">
      <c r="J29" s="28" t="s">
        <v>36</v>
      </c>
      <c r="K29" s="15">
        <f>AVERAGE(K26:K28)</f>
        <v>57.761916074100064</v>
      </c>
      <c r="L29" s="15">
        <f>AVERAGE(L26:L28)</f>
        <v>41.86382313812183</v>
      </c>
      <c r="M29" s="15">
        <f t="shared" ref="M29:N29" si="5">AVERAGE(M26:M28)</f>
        <v>35.580550381619048</v>
      </c>
      <c r="N29" s="15">
        <f t="shared" si="5"/>
        <v>32.872719673751348</v>
      </c>
    </row>
    <row r="30" spans="2:15" x14ac:dyDescent="0.3">
      <c r="J30" s="28"/>
      <c r="K30" s="15"/>
      <c r="L30" s="15"/>
      <c r="M30" s="15"/>
      <c r="N30" s="15"/>
    </row>
    <row r="31" spans="2:15" x14ac:dyDescent="0.3">
      <c r="J31" s="28" t="s">
        <v>37</v>
      </c>
      <c r="K31" s="29">
        <f>C9</f>
        <v>36.82</v>
      </c>
      <c r="L31" s="29"/>
      <c r="M31" s="29"/>
      <c r="N31" s="29"/>
      <c r="O31" s="29"/>
    </row>
    <row r="32" spans="2:15" x14ac:dyDescent="0.3">
      <c r="J32" s="28" t="s">
        <v>39</v>
      </c>
      <c r="K32" s="29">
        <f>K29-$K$31</f>
        <v>20.941916074100064</v>
      </c>
      <c r="L32" s="29">
        <f t="shared" ref="L32:N32" si="6">L29-$K$31</f>
        <v>5.0438231381218301</v>
      </c>
      <c r="M32" s="29">
        <f t="shared" si="6"/>
        <v>-1.2394496183809522</v>
      </c>
      <c r="N32" s="29">
        <f t="shared" si="6"/>
        <v>-3.9472803262486522</v>
      </c>
      <c r="O32" s="29"/>
    </row>
    <row r="33" spans="10:15" x14ac:dyDescent="0.3">
      <c r="J33" s="28" t="s">
        <v>38</v>
      </c>
      <c r="K33" s="30">
        <f>K32/$K$31</f>
        <v>0.56876469511407013</v>
      </c>
      <c r="L33" s="30">
        <f t="shared" ref="L33:N33" si="7">L32/$K$31</f>
        <v>0.13698596246935987</v>
      </c>
      <c r="M33" s="31">
        <f t="shared" si="7"/>
        <v>-3.3662401368303972E-2</v>
      </c>
      <c r="N33" s="31">
        <f t="shared" si="7"/>
        <v>-0.1072047888715006</v>
      </c>
      <c r="O33" s="2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23B3-D1D9-4C5A-957B-0A66B96211D1}">
  <dimension ref="B2:M32"/>
  <sheetViews>
    <sheetView showGridLines="0" tabSelected="1" workbookViewId="0">
      <selection activeCell="F28" sqref="F28"/>
    </sheetView>
  </sheetViews>
  <sheetFormatPr defaultRowHeight="14.4" x14ac:dyDescent="0.3"/>
  <cols>
    <col min="2" max="2" width="16" bestFit="1" customWidth="1"/>
    <col min="3" max="3" width="12.88671875" bestFit="1" customWidth="1"/>
    <col min="4" max="4" width="20.88671875" bestFit="1" customWidth="1"/>
    <col min="5" max="5" width="17.5546875" bestFit="1" customWidth="1"/>
    <col min="6" max="6" width="8.33203125" bestFit="1" customWidth="1"/>
    <col min="7" max="7" width="9.6640625" bestFit="1" customWidth="1"/>
    <col min="8" max="8" width="10.21875" bestFit="1" customWidth="1"/>
  </cols>
  <sheetData>
    <row r="2" spans="2:13" ht="16.2" x14ac:dyDescent="0.45">
      <c r="B2" s="1"/>
      <c r="C2" s="1"/>
      <c r="D2" s="1"/>
      <c r="E2" s="1"/>
      <c r="F2" s="34" t="s">
        <v>43</v>
      </c>
      <c r="G2" s="34"/>
      <c r="H2" s="34"/>
    </row>
    <row r="3" spans="2:13" ht="16.2" x14ac:dyDescent="0.45">
      <c r="B3" s="41" t="s">
        <v>40</v>
      </c>
      <c r="C3" s="41" t="s">
        <v>41</v>
      </c>
      <c r="D3" s="41" t="s">
        <v>52</v>
      </c>
      <c r="E3" s="41" t="s">
        <v>42</v>
      </c>
      <c r="F3" s="41" t="s">
        <v>44</v>
      </c>
      <c r="G3" s="41" t="s">
        <v>45</v>
      </c>
      <c r="H3" s="41" t="s">
        <v>46</v>
      </c>
      <c r="J3" s="6" t="s">
        <v>53</v>
      </c>
      <c r="K3" s="7">
        <v>1.1599999999999999</v>
      </c>
    </row>
    <row r="4" spans="2:13" x14ac:dyDescent="0.3">
      <c r="B4" s="32">
        <v>43586</v>
      </c>
      <c r="C4" t="s">
        <v>47</v>
      </c>
      <c r="D4">
        <v>6700</v>
      </c>
      <c r="E4" t="s">
        <v>54</v>
      </c>
      <c r="F4" s="39">
        <f>D4/1500</f>
        <v>4.4666666666666668</v>
      </c>
      <c r="G4" s="39">
        <f>D4/441</f>
        <v>15.192743764172336</v>
      </c>
      <c r="H4" s="39" t="s">
        <v>65</v>
      </c>
      <c r="J4" s="6" t="s">
        <v>20</v>
      </c>
      <c r="K4" s="7">
        <v>0.16</v>
      </c>
    </row>
    <row r="5" spans="2:13" x14ac:dyDescent="0.3">
      <c r="B5" s="32">
        <v>42795</v>
      </c>
      <c r="C5" t="s">
        <v>48</v>
      </c>
      <c r="D5">
        <v>2740</v>
      </c>
      <c r="E5" t="s">
        <v>55</v>
      </c>
      <c r="F5" s="39">
        <f>D5/(850*K3)</f>
        <v>2.7789046653144021</v>
      </c>
      <c r="G5" s="39">
        <f>D5/(210*K3)</f>
        <v>11.247947454844008</v>
      </c>
      <c r="H5" s="39" t="s">
        <v>65</v>
      </c>
    </row>
    <row r="6" spans="2:13" x14ac:dyDescent="0.3">
      <c r="B6" s="32">
        <v>43770</v>
      </c>
      <c r="C6" t="s">
        <v>49</v>
      </c>
      <c r="D6">
        <v>5400</v>
      </c>
      <c r="E6" t="s">
        <v>0</v>
      </c>
      <c r="F6" s="39">
        <f>D6/920.9</f>
        <v>5.8638288630687372</v>
      </c>
      <c r="G6" s="39">
        <f>D6/160</f>
        <v>33.75</v>
      </c>
      <c r="H6" s="39">
        <f>D6/11.6</f>
        <v>465.51724137931035</v>
      </c>
    </row>
    <row r="7" spans="2:13" x14ac:dyDescent="0.3">
      <c r="B7" s="32">
        <v>44440</v>
      </c>
      <c r="C7" t="s">
        <v>50</v>
      </c>
      <c r="D7">
        <v>12400</v>
      </c>
      <c r="E7" t="s">
        <v>56</v>
      </c>
      <c r="F7" s="39">
        <v>4.3</v>
      </c>
      <c r="G7" s="39">
        <v>19.600000000000001</v>
      </c>
      <c r="H7" s="39">
        <f>D7/400.2</f>
        <v>30.984507746126937</v>
      </c>
    </row>
    <row r="8" spans="2:13" x14ac:dyDescent="0.3">
      <c r="B8" s="32">
        <v>45323</v>
      </c>
      <c r="C8" t="s">
        <v>51</v>
      </c>
      <c r="D8">
        <v>1500</v>
      </c>
      <c r="E8" t="s">
        <v>57</v>
      </c>
      <c r="F8" s="39">
        <v>3.97</v>
      </c>
      <c r="G8" s="39">
        <v>15.7</v>
      </c>
      <c r="H8" s="39">
        <f>D8/69</f>
        <v>21.739130434782609</v>
      </c>
    </row>
    <row r="9" spans="2:13" x14ac:dyDescent="0.3">
      <c r="B9" s="38" t="s">
        <v>22</v>
      </c>
      <c r="C9" s="38"/>
      <c r="D9" s="38"/>
      <c r="E9" s="38"/>
      <c r="F9" s="40">
        <f>AVERAGE(F4:F8)</f>
        <v>4.2758800390099605</v>
      </c>
      <c r="G9" s="40">
        <f>AVERAGE(G4:G8)</f>
        <v>19.09813824380327</v>
      </c>
      <c r="H9" s="40">
        <f>AVERAGE(H4:H5,H7:H8)</f>
        <v>26.361819090454773</v>
      </c>
    </row>
    <row r="10" spans="2:13" x14ac:dyDescent="0.3">
      <c r="B10" s="38" t="s">
        <v>35</v>
      </c>
      <c r="C10" s="38"/>
      <c r="D10" s="38"/>
      <c r="E10" s="38"/>
      <c r="F10" s="40">
        <f>HARMEAN(F4:F8)</f>
        <v>4.0364280952852667</v>
      </c>
      <c r="G10" s="40">
        <f>HARMEAN(G4:G8)</f>
        <v>16.718476650677161</v>
      </c>
      <c r="H10" s="40">
        <f>HARMEAN(H4:H5,H7:H8)</f>
        <v>25.551205439934058</v>
      </c>
    </row>
    <row r="11" spans="2:13" x14ac:dyDescent="0.3">
      <c r="B11" s="38" t="s">
        <v>21</v>
      </c>
      <c r="C11" s="38"/>
      <c r="D11" s="38"/>
      <c r="E11" s="38"/>
      <c r="F11" s="40">
        <f>MEDIAN(F4:F8)</f>
        <v>4.3</v>
      </c>
      <c r="G11" s="40">
        <f>MEDIAN(G4:G8)</f>
        <v>15.7</v>
      </c>
      <c r="H11" s="40">
        <f>MEDIAN(H4:H5,H7:H8)</f>
        <v>26.361819090454773</v>
      </c>
    </row>
    <row r="13" spans="2:13" ht="16.2" x14ac:dyDescent="0.45">
      <c r="B13" s="21" t="s">
        <v>58</v>
      </c>
      <c r="C13" s="34"/>
      <c r="D13" s="34"/>
      <c r="E13" s="34"/>
      <c r="F13" s="34"/>
      <c r="G13" s="34"/>
      <c r="H13" s="34"/>
    </row>
    <row r="14" spans="2:13" ht="16.2" x14ac:dyDescent="0.45">
      <c r="B14" s="41"/>
      <c r="C14" s="41" t="s">
        <v>59</v>
      </c>
      <c r="D14" s="41" t="s">
        <v>17</v>
      </c>
      <c r="E14" s="41" t="s">
        <v>61</v>
      </c>
      <c r="F14" s="41" t="s">
        <v>10</v>
      </c>
      <c r="G14" s="41" t="s">
        <v>11</v>
      </c>
      <c r="H14" s="41" t="s">
        <v>12</v>
      </c>
    </row>
    <row r="15" spans="2:13" x14ac:dyDescent="0.3">
      <c r="B15" t="s">
        <v>19</v>
      </c>
      <c r="C15" s="14">
        <f>[1]DCF!$I$9</f>
        <v>36.82</v>
      </c>
      <c r="D15" s="13">
        <f>'[2]Income Statement'!$F$25</f>
        <v>876</v>
      </c>
      <c r="E15" s="13">
        <f>'[2]Balance Sheet'!$F$49</f>
        <v>2986</v>
      </c>
      <c r="F15" s="13">
        <f>'[2]Income Statement'!$F$2</f>
        <v>5810</v>
      </c>
      <c r="G15" s="13">
        <f>'[2]Income Statement'!$F$40</f>
        <v>1335</v>
      </c>
      <c r="H15" s="13">
        <f>'[2]Income Statement'!$F$8</f>
        <v>886</v>
      </c>
      <c r="I15" s="13"/>
      <c r="J15" s="35"/>
      <c r="K15" s="35"/>
      <c r="L15" s="35"/>
      <c r="M15" s="35"/>
    </row>
    <row r="16" spans="2:13" ht="16.2" x14ac:dyDescent="0.45">
      <c r="F16" s="33" t="s">
        <v>60</v>
      </c>
      <c r="G16" s="33"/>
      <c r="H16" s="33"/>
    </row>
    <row r="17" spans="2:9" x14ac:dyDescent="0.3">
      <c r="B17" t="s">
        <v>22</v>
      </c>
      <c r="F17" s="42">
        <f>F$15*F9</f>
        <v>24842.863026647872</v>
      </c>
      <c r="G17" s="42">
        <f t="shared" ref="G17:H17" si="0">G$15*G9</f>
        <v>25496.014555477366</v>
      </c>
      <c r="H17" s="42">
        <f t="shared" si="0"/>
        <v>23356.57171414293</v>
      </c>
    </row>
    <row r="18" spans="2:9" x14ac:dyDescent="0.3">
      <c r="B18" t="s">
        <v>35</v>
      </c>
      <c r="F18" s="42">
        <f t="shared" ref="F18:H18" si="1">F$15*F10</f>
        <v>23451.6472336074</v>
      </c>
      <c r="G18" s="42">
        <f t="shared" si="1"/>
        <v>22319.16632865401</v>
      </c>
      <c r="H18" s="42">
        <f t="shared" si="1"/>
        <v>22638.368019781577</v>
      </c>
    </row>
    <row r="19" spans="2:9" x14ac:dyDescent="0.3">
      <c r="B19" t="s">
        <v>21</v>
      </c>
      <c r="F19" s="42">
        <f t="shared" ref="F19:H19" si="2">F$15*F11</f>
        <v>24983</v>
      </c>
      <c r="G19" s="42">
        <f t="shared" si="2"/>
        <v>20959.5</v>
      </c>
      <c r="H19" s="42">
        <f t="shared" si="2"/>
        <v>23356.57171414293</v>
      </c>
    </row>
    <row r="20" spans="2:9" ht="16.2" x14ac:dyDescent="0.45">
      <c r="F20" s="33" t="s">
        <v>34</v>
      </c>
      <c r="G20" s="33"/>
      <c r="H20" s="33"/>
    </row>
    <row r="21" spans="2:9" x14ac:dyDescent="0.3">
      <c r="B21" t="s">
        <v>22</v>
      </c>
      <c r="F21" s="42">
        <f>F17-$E$15</f>
        <v>21856.863026647872</v>
      </c>
      <c r="G21" s="42">
        <f t="shared" ref="G21:H21" si="3">G17-$E$15</f>
        <v>22510.014555477366</v>
      </c>
      <c r="H21" s="42">
        <f t="shared" si="3"/>
        <v>20370.57171414293</v>
      </c>
    </row>
    <row r="22" spans="2:9" x14ac:dyDescent="0.3">
      <c r="B22" t="s">
        <v>35</v>
      </c>
      <c r="F22" s="42">
        <f t="shared" ref="F22:H22" si="4">F18-$E$15</f>
        <v>20465.6472336074</v>
      </c>
      <c r="G22" s="42">
        <f t="shared" si="4"/>
        <v>19333.16632865401</v>
      </c>
      <c r="H22" s="42">
        <f t="shared" si="4"/>
        <v>19652.368019781577</v>
      </c>
    </row>
    <row r="23" spans="2:9" x14ac:dyDescent="0.3">
      <c r="B23" t="s">
        <v>21</v>
      </c>
      <c r="F23" s="42">
        <f t="shared" ref="F23:H23" si="5">F19-$E$15</f>
        <v>21997</v>
      </c>
      <c r="G23" s="42">
        <f t="shared" si="5"/>
        <v>17973.5</v>
      </c>
      <c r="H23" s="42">
        <f t="shared" si="5"/>
        <v>20370.57171414293</v>
      </c>
    </row>
    <row r="24" spans="2:9" ht="16.2" x14ac:dyDescent="0.45">
      <c r="F24" s="33" t="s">
        <v>63</v>
      </c>
      <c r="G24" s="33"/>
      <c r="H24" s="33"/>
    </row>
    <row r="25" spans="2:9" x14ac:dyDescent="0.3">
      <c r="B25" t="s">
        <v>22</v>
      </c>
      <c r="F25" s="15">
        <f>F21/$D$15</f>
        <v>24.950756879735014</v>
      </c>
      <c r="G25" s="15">
        <f t="shared" ref="G25:H25" si="6">G21/$D$15</f>
        <v>25.696363647805214</v>
      </c>
      <c r="H25" s="15">
        <f t="shared" si="6"/>
        <v>23.254077299249921</v>
      </c>
    </row>
    <row r="26" spans="2:9" x14ac:dyDescent="0.3">
      <c r="B26" t="s">
        <v>35</v>
      </c>
      <c r="F26" s="15">
        <f t="shared" ref="F26:H26" si="7">F22/$D$15</f>
        <v>23.362610997268721</v>
      </c>
      <c r="G26" s="15">
        <f t="shared" si="7"/>
        <v>22.069824576089051</v>
      </c>
      <c r="H26" s="15">
        <f t="shared" si="7"/>
        <v>22.434210068243811</v>
      </c>
    </row>
    <row r="27" spans="2:9" x14ac:dyDescent="0.3">
      <c r="B27" t="s">
        <v>21</v>
      </c>
      <c r="F27" s="15">
        <f t="shared" ref="F27:H27" si="8">F23/$D$15</f>
        <v>25.110730593607308</v>
      </c>
      <c r="G27" s="15">
        <f t="shared" si="8"/>
        <v>20.517694063926939</v>
      </c>
      <c r="H27" s="15">
        <f t="shared" si="8"/>
        <v>23.254077299249921</v>
      </c>
    </row>
    <row r="28" spans="2:9" x14ac:dyDescent="0.3">
      <c r="E28" t="s">
        <v>64</v>
      </c>
      <c r="F28" s="15">
        <f>AVERAGE(F25:F27)</f>
        <v>24.47469949020368</v>
      </c>
      <c r="G28" s="15">
        <f>AVERAGE(G25:G27)</f>
        <v>22.7612940959404</v>
      </c>
      <c r="H28" s="15">
        <f>AVERAGE(H25:H27)</f>
        <v>22.980788222247885</v>
      </c>
    </row>
    <row r="30" spans="2:9" x14ac:dyDescent="0.3">
      <c r="E30" s="28" t="s">
        <v>37</v>
      </c>
      <c r="F30" s="29">
        <f>C15</f>
        <v>36.82</v>
      </c>
      <c r="G30" s="29"/>
      <c r="H30" s="29"/>
      <c r="I30" s="29"/>
    </row>
    <row r="31" spans="2:9" x14ac:dyDescent="0.3">
      <c r="E31" s="28" t="s">
        <v>39</v>
      </c>
      <c r="F31" s="29">
        <f>F28-$F$30</f>
        <v>-12.345300509796321</v>
      </c>
      <c r="G31" s="29">
        <f t="shared" ref="G31:H31" si="9">G28-$F$30</f>
        <v>-14.0587059040596</v>
      </c>
      <c r="H31" s="29">
        <f t="shared" si="9"/>
        <v>-13.839211777752116</v>
      </c>
      <c r="I31" s="29">
        <f t="shared" ref="I31" si="10">I28-$K$30</f>
        <v>0</v>
      </c>
    </row>
    <row r="32" spans="2:9" x14ac:dyDescent="0.3">
      <c r="E32" s="28" t="s">
        <v>38</v>
      </c>
      <c r="F32" s="31">
        <f>F31/F28</f>
        <v>-0.50441070848439584</v>
      </c>
      <c r="G32" s="31">
        <f t="shared" ref="G32:H32" si="11">G31/G28</f>
        <v>-0.61765846198380459</v>
      </c>
      <c r="H32" s="31">
        <f t="shared" si="11"/>
        <v>-0.60220788094440836</v>
      </c>
      <c r="I32" s="3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Comparable Companies</vt:lpstr>
      <vt:lpstr>Precedent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Davis</dc:creator>
  <cp:lastModifiedBy>Xavier Davis</cp:lastModifiedBy>
  <dcterms:created xsi:type="dcterms:W3CDTF">2025-11-12T14:25:43Z</dcterms:created>
  <dcterms:modified xsi:type="dcterms:W3CDTF">2025-11-17T14:09:16Z</dcterms:modified>
</cp:coreProperties>
</file>