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2735" documentId="8_{4CAA811A-3924-48A6-9DA9-F0A76AB10370}" xr6:coauthVersionLast="47" xr6:coauthVersionMax="47" xr10:uidLastSave="{4F0087EF-CABA-46B6-95D3-42586F75BA02}"/>
  <bookViews>
    <workbookView xWindow="-108" yWindow="-108" windowWidth="23256" windowHeight="12456" activeTab="2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2" i="4" l="1"/>
  <c r="AJ22" i="4"/>
  <c r="AI22" i="4"/>
  <c r="AH22" i="4"/>
  <c r="AG22" i="4"/>
  <c r="AF22" i="4"/>
  <c r="AE22" i="4"/>
  <c r="AD22" i="4"/>
  <c r="V22" i="4"/>
  <c r="W22" i="4"/>
  <c r="X22" i="4"/>
  <c r="Y22" i="4"/>
  <c r="Z22" i="4"/>
  <c r="AA22" i="4"/>
  <c r="AB22" i="4"/>
  <c r="U22" i="4"/>
  <c r="M22" i="4"/>
  <c r="N22" i="4"/>
  <c r="O22" i="4"/>
  <c r="P22" i="4"/>
  <c r="Q22" i="4"/>
  <c r="R22" i="4"/>
  <c r="S22" i="4"/>
  <c r="L22" i="4"/>
  <c r="D22" i="4"/>
  <c r="E22" i="4"/>
  <c r="F22" i="4"/>
  <c r="G22" i="4"/>
  <c r="H22" i="4"/>
  <c r="I22" i="4"/>
  <c r="J22" i="4"/>
  <c r="C22" i="4"/>
  <c r="D20" i="4"/>
  <c r="E20" i="4"/>
  <c r="F20" i="4"/>
  <c r="G20" i="4"/>
  <c r="H20" i="4"/>
  <c r="I20" i="4"/>
  <c r="J20" i="4"/>
  <c r="L20" i="4"/>
  <c r="M20" i="4"/>
  <c r="N20" i="4"/>
  <c r="O20" i="4"/>
  <c r="P20" i="4"/>
  <c r="Q20" i="4"/>
  <c r="R20" i="4"/>
  <c r="S20" i="4"/>
  <c r="U20" i="4"/>
  <c r="V20" i="4"/>
  <c r="W20" i="4"/>
  <c r="X20" i="4"/>
  <c r="Y20" i="4"/>
  <c r="Z20" i="4"/>
  <c r="AA20" i="4"/>
  <c r="AB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C20" i="4"/>
  <c r="AV19" i="4"/>
  <c r="AW19" i="4" s="1"/>
  <c r="AX19" i="4" s="1"/>
  <c r="AY19" i="4" s="1"/>
  <c r="AZ19" i="4" s="1"/>
  <c r="BA19" i="4" s="1"/>
  <c r="BB19" i="4" s="1"/>
  <c r="BC19" i="4" s="1"/>
  <c r="AM19" i="4"/>
  <c r="AN19" i="4" s="1"/>
  <c r="AO19" i="4" s="1"/>
  <c r="AP19" i="4" s="1"/>
  <c r="AQ19" i="4" s="1"/>
  <c r="AR19" i="4" s="1"/>
  <c r="AS19" i="4" s="1"/>
  <c r="AT19" i="4" s="1"/>
  <c r="AD19" i="4"/>
  <c r="AE19" i="4" s="1"/>
  <c r="AF19" i="4" s="1"/>
  <c r="AG19" i="4" s="1"/>
  <c r="AH19" i="4" s="1"/>
  <c r="AI19" i="4" s="1"/>
  <c r="AJ19" i="4" s="1"/>
  <c r="AK19" i="4" s="1"/>
  <c r="U19" i="4"/>
  <c r="V19" i="4" s="1"/>
  <c r="W19" i="4" s="1"/>
  <c r="X19" i="4" s="1"/>
  <c r="Y19" i="4" s="1"/>
  <c r="Z19" i="4" s="1"/>
  <c r="AA19" i="4" s="1"/>
  <c r="AB19" i="4" s="1"/>
  <c r="L19" i="4"/>
  <c r="M19" i="4" s="1"/>
  <c r="N19" i="4" s="1"/>
  <c r="O19" i="4" s="1"/>
  <c r="P19" i="4" s="1"/>
  <c r="Q19" i="4" s="1"/>
  <c r="R19" i="4" s="1"/>
  <c r="S19" i="4" s="1"/>
  <c r="E19" i="4"/>
  <c r="F19" i="4"/>
  <c r="G19" i="4" s="1"/>
  <c r="H19" i="4" s="1"/>
  <c r="I19" i="4" s="1"/>
  <c r="J19" i="4" s="1"/>
  <c r="D19" i="4"/>
  <c r="C19" i="4"/>
  <c r="AM14" i="4"/>
  <c r="AM18" i="4" s="1"/>
  <c r="AD14" i="4"/>
  <c r="AD18" i="4" s="1"/>
  <c r="U14" i="4"/>
  <c r="U18" i="4" s="1"/>
  <c r="AW17" i="4"/>
  <c r="AX17" i="4"/>
  <c r="AY17" i="4" s="1"/>
  <c r="AZ17" i="4" s="1"/>
  <c r="BA17" i="4" s="1"/>
  <c r="BB17" i="4" s="1"/>
  <c r="BC17" i="4" s="1"/>
  <c r="AV17" i="4"/>
  <c r="AN17" i="4"/>
  <c r="AO17" i="4" s="1"/>
  <c r="AP17" i="4" s="1"/>
  <c r="AQ17" i="4" s="1"/>
  <c r="AR17" i="4" s="1"/>
  <c r="AS17" i="4" s="1"/>
  <c r="AT17" i="4" s="1"/>
  <c r="AM17" i="4"/>
  <c r="AE17" i="4"/>
  <c r="AF17" i="4" s="1"/>
  <c r="AG17" i="4" s="1"/>
  <c r="AH17" i="4" s="1"/>
  <c r="AI17" i="4" s="1"/>
  <c r="AJ17" i="4" s="1"/>
  <c r="AK17" i="4" s="1"/>
  <c r="AD17" i="4"/>
  <c r="V17" i="4"/>
  <c r="W17" i="4" s="1"/>
  <c r="X17" i="4" s="1"/>
  <c r="Y17" i="4" s="1"/>
  <c r="Z17" i="4" s="1"/>
  <c r="AA17" i="4" s="1"/>
  <c r="AB17" i="4" s="1"/>
  <c r="U17" i="4"/>
  <c r="M17" i="4"/>
  <c r="N17" i="4"/>
  <c r="O17" i="4" s="1"/>
  <c r="P17" i="4" s="1"/>
  <c r="Q17" i="4" s="1"/>
  <c r="R17" i="4" s="1"/>
  <c r="S17" i="4" s="1"/>
  <c r="L17" i="4"/>
  <c r="D17" i="4"/>
  <c r="E17" i="4" s="1"/>
  <c r="F17" i="4" s="1"/>
  <c r="G17" i="4" s="1"/>
  <c r="H17" i="4" s="1"/>
  <c r="I17" i="4" s="1"/>
  <c r="J17" i="4" s="1"/>
  <c r="C17" i="4"/>
  <c r="AU14" i="4"/>
  <c r="AV14" i="4" s="1"/>
  <c r="AL14" i="4"/>
  <c r="AC14" i="4"/>
  <c r="T14" i="4"/>
  <c r="K14" i="4"/>
  <c r="L14" i="4" s="1"/>
  <c r="B14" i="4"/>
  <c r="C14" i="4" s="1"/>
  <c r="AV18" i="4" l="1"/>
  <c r="AW14" i="4"/>
  <c r="D14" i="4"/>
  <c r="C18" i="4"/>
  <c r="L18" i="4"/>
  <c r="M14" i="4"/>
  <c r="AE14" i="4"/>
  <c r="AN14" i="4"/>
  <c r="V14" i="4"/>
  <c r="N29" i="3"/>
  <c r="H29" i="3"/>
  <c r="N26" i="3"/>
  <c r="N27" i="3" s="1"/>
  <c r="N24" i="3"/>
  <c r="N23" i="3"/>
  <c r="R22" i="3"/>
  <c r="S22" i="3" s="1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W8" i="3"/>
  <c r="W13" i="3" s="1"/>
  <c r="W7" i="3"/>
  <c r="W6" i="3"/>
  <c r="W5" i="3"/>
  <c r="W2" i="3"/>
  <c r="BF2" i="4" s="1"/>
  <c r="B4" i="2"/>
  <c r="C4" i="2"/>
  <c r="D4" i="2"/>
  <c r="E4" i="2"/>
  <c r="F4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8" i="2"/>
  <c r="V18" i="4" l="1"/>
  <c r="W14" i="4"/>
  <c r="AO14" i="4"/>
  <c r="AN18" i="4"/>
  <c r="AE18" i="4"/>
  <c r="AF14" i="4"/>
  <c r="M18" i="4"/>
  <c r="N14" i="4"/>
  <c r="E14" i="4"/>
  <c r="D18" i="4"/>
  <c r="AW18" i="4"/>
  <c r="AX14" i="4"/>
  <c r="B32" i="3"/>
  <c r="W4" i="3"/>
  <c r="BF3" i="4" s="1"/>
  <c r="H13" i="3"/>
  <c r="J11" i="3" s="1"/>
  <c r="C8" i="3"/>
  <c r="G8" i="3"/>
  <c r="P8" i="3"/>
  <c r="I11" i="3"/>
  <c r="H11" i="3"/>
  <c r="L8" i="3"/>
  <c r="B13" i="3"/>
  <c r="K8" i="3"/>
  <c r="F8" i="3"/>
  <c r="O8" i="3"/>
  <c r="M8" i="3"/>
  <c r="B5" i="3"/>
  <c r="E8" i="3"/>
  <c r="S8" i="3"/>
  <c r="N13" i="3"/>
  <c r="R8" i="3"/>
  <c r="J8" i="3"/>
  <c r="O14" i="4" l="1"/>
  <c r="N18" i="4"/>
  <c r="AG14" i="4"/>
  <c r="AF18" i="4"/>
  <c r="AY14" i="4"/>
  <c r="AX18" i="4"/>
  <c r="F14" i="4"/>
  <c r="E18" i="4"/>
  <c r="AP14" i="4"/>
  <c r="AO18" i="4"/>
  <c r="W18" i="4"/>
  <c r="X14" i="4"/>
  <c r="L11" i="3"/>
  <c r="M11" i="3"/>
  <c r="K11" i="3"/>
  <c r="H6" i="3"/>
  <c r="N6" i="3"/>
  <c r="B6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K28" i="2"/>
  <c r="L28" i="2" s="1"/>
  <c r="I28" i="2"/>
  <c r="H28" i="2" s="1"/>
  <c r="D29" i="2"/>
  <c r="B29" i="2"/>
  <c r="I13" i="2"/>
  <c r="AH14" i="4" l="1"/>
  <c r="AG18" i="4"/>
  <c r="AQ14" i="4"/>
  <c r="AP18" i="4"/>
  <c r="P14" i="4"/>
  <c r="O18" i="4"/>
  <c r="G14" i="4"/>
  <c r="F18" i="4"/>
  <c r="AZ14" i="4"/>
  <c r="AY18" i="4"/>
  <c r="X18" i="4"/>
  <c r="Y14" i="4"/>
  <c r="B34" i="2"/>
  <c r="B36" i="2" s="1"/>
  <c r="J36" i="2" s="1"/>
  <c r="B20" i="2"/>
  <c r="B24" i="2"/>
  <c r="B23" i="2"/>
  <c r="B22" i="2"/>
  <c r="B21" i="2"/>
  <c r="B19" i="2"/>
  <c r="B18" i="2"/>
  <c r="B17" i="2"/>
  <c r="B16" i="2"/>
  <c r="B15" i="2"/>
  <c r="BA14" i="4" l="1"/>
  <c r="AZ18" i="4"/>
  <c r="AI14" i="4"/>
  <c r="AH18" i="4"/>
  <c r="H14" i="4"/>
  <c r="G18" i="4"/>
  <c r="Q14" i="4"/>
  <c r="P18" i="4"/>
  <c r="Z14" i="4"/>
  <c r="Y18" i="4"/>
  <c r="AR14" i="4"/>
  <c r="AQ18" i="4"/>
  <c r="J37" i="2"/>
  <c r="K37" i="2" s="1"/>
  <c r="B25" i="2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AA14" i="4" l="1"/>
  <c r="Z18" i="4"/>
  <c r="BB14" i="4"/>
  <c r="BA18" i="4"/>
  <c r="R14" i="4"/>
  <c r="Q18" i="4"/>
  <c r="I14" i="4"/>
  <c r="H18" i="4"/>
  <c r="AS14" i="4"/>
  <c r="AR18" i="4"/>
  <c r="AJ14" i="4"/>
  <c r="AI18" i="4"/>
  <c r="J12" i="3"/>
  <c r="J15" i="3" s="1"/>
  <c r="J16" i="3" s="1"/>
  <c r="P12" i="3"/>
  <c r="P15" i="3" s="1"/>
  <c r="P16" i="3" s="1"/>
  <c r="D12" i="3"/>
  <c r="D15" i="3" s="1"/>
  <c r="D16" i="3" s="1"/>
  <c r="N12" i="3"/>
  <c r="I12" i="3"/>
  <c r="I15" i="3" s="1"/>
  <c r="I16" i="3" s="1"/>
  <c r="B12" i="3"/>
  <c r="C12" i="3"/>
  <c r="C15" i="3" s="1"/>
  <c r="C16" i="3" s="1"/>
  <c r="H12" i="3"/>
  <c r="O12" i="3"/>
  <c r="O15" i="3" s="1"/>
  <c r="O16" i="3" s="1"/>
  <c r="M12" i="3"/>
  <c r="M15" i="3" s="1"/>
  <c r="M16" i="3" s="1"/>
  <c r="H18" i="3" s="1"/>
  <c r="S12" i="3"/>
  <c r="S15" i="3" s="1"/>
  <c r="S16" i="3" s="1"/>
  <c r="N18" i="3" s="1"/>
  <c r="G12" i="3"/>
  <c r="G15" i="3" s="1"/>
  <c r="G16" i="3" s="1"/>
  <c r="B18" i="3" s="1"/>
  <c r="L23" i="2"/>
  <c r="J24" i="2" s="1"/>
  <c r="J25" i="2" s="1"/>
  <c r="K25" i="2" s="1"/>
  <c r="B31" i="3"/>
  <c r="I4" i="2"/>
  <c r="F12" i="3"/>
  <c r="F15" i="3" s="1"/>
  <c r="F16" i="3" s="1"/>
  <c r="L12" i="3"/>
  <c r="L15" i="3" s="1"/>
  <c r="L16" i="3" s="1"/>
  <c r="R12" i="3"/>
  <c r="R15" i="3" s="1"/>
  <c r="R16" i="3" s="1"/>
  <c r="Q12" i="3"/>
  <c r="Q15" i="3" s="1"/>
  <c r="Q16" i="3" s="1"/>
  <c r="E12" i="3"/>
  <c r="E15" i="3" s="1"/>
  <c r="E16" i="3" s="1"/>
  <c r="K12" i="3"/>
  <c r="K15" i="3" s="1"/>
  <c r="K16" i="3" s="1"/>
  <c r="F5" i="2"/>
  <c r="E5" i="2"/>
  <c r="B5" i="2"/>
  <c r="AT14" i="4" l="1"/>
  <c r="AT18" i="4" s="1"/>
  <c r="AS18" i="4"/>
  <c r="AK14" i="4"/>
  <c r="AK18" i="4" s="1"/>
  <c r="AJ18" i="4"/>
  <c r="BC14" i="4"/>
  <c r="BC18" i="4" s="1"/>
  <c r="BB18" i="4"/>
  <c r="AB14" i="4"/>
  <c r="AB18" i="4" s="1"/>
  <c r="AA18" i="4"/>
  <c r="J14" i="4"/>
  <c r="J18" i="4" s="1"/>
  <c r="I18" i="4"/>
  <c r="S14" i="4"/>
  <c r="S18" i="4" s="1"/>
  <c r="R18" i="4"/>
  <c r="B19" i="3"/>
  <c r="B22" i="3" s="1"/>
  <c r="H19" i="3"/>
  <c r="H22" i="3" s="1"/>
  <c r="N19" i="3"/>
  <c r="N22" i="3" s="1"/>
  <c r="B33" i="3"/>
  <c r="B34" i="3" s="1"/>
  <c r="B36" i="3" s="1"/>
  <c r="C36" i="3" s="1"/>
  <c r="D5" i="2"/>
  <c r="F3" i="2"/>
  <c r="F7" i="2" s="1"/>
  <c r="B11" i="2" s="1"/>
  <c r="D3" i="2"/>
  <c r="E3" i="2"/>
  <c r="E7" i="2" s="1"/>
  <c r="C3" i="2"/>
  <c r="B3" i="2"/>
  <c r="B7" i="2" s="1"/>
  <c r="C5" i="2"/>
  <c r="D7" i="2" l="1"/>
  <c r="C7" i="2"/>
  <c r="B8" i="2"/>
  <c r="D8" i="2"/>
  <c r="C8" i="2"/>
  <c r="D11" i="2"/>
  <c r="F8" i="2"/>
  <c r="E8" i="2"/>
  <c r="B12" i="2" l="1"/>
  <c r="G16" i="2" s="1"/>
  <c r="D12" i="2"/>
  <c r="G28" i="2" s="1"/>
  <c r="B26" i="2" l="1"/>
  <c r="B27" i="2" s="1"/>
  <c r="D26" i="2"/>
  <c r="D27" i="2" s="1"/>
  <c r="D28" i="2" l="1"/>
  <c r="D30" i="2" s="1"/>
  <c r="E30" i="2" s="1"/>
  <c r="B28" i="2"/>
  <c r="B30" i="2" s="1"/>
  <c r="C3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A17" authorId="0" shapeId="0" xr:uid="{E9CD2334-E6D0-4DCD-951C-AAF7CF2E3C5A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parameter limited form of A(t) = =L/s2t​−(L/st​)2 where L = years to fully adopt, s = adoption rate factor, t = years since launch</t>
        </r>
      </text>
    </comment>
  </commentList>
</comments>
</file>

<file path=xl/sharedStrings.xml><?xml version="1.0" encoding="utf-8"?>
<sst xmlns="http://schemas.openxmlformats.org/spreadsheetml/2006/main" count="158" uniqueCount="111">
  <si>
    <t>FY</t>
  </si>
  <si>
    <t>Tax Rate</t>
  </si>
  <si>
    <t>WACC</t>
  </si>
  <si>
    <t>EBIT</t>
  </si>
  <si>
    <t>Depreciation and Amortisation</t>
  </si>
  <si>
    <t>Capital Expenditure</t>
  </si>
  <si>
    <t>Change in Operating Working Capital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</si>
  <si>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</si>
  <si>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</si>
  <si>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</si>
  <si>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</si>
  <si>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</si>
  <si>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</si>
  <si>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</si>
  <si>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</si>
  <si>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</si>
  <si>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</si>
  <si>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</si>
  <si>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</si>
  <si>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</si>
  <si>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</si>
  <si>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</si>
  <si>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</si>
  <si>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</si>
  <si>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</si>
  <si>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</si>
  <si>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</si>
  <si>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</si>
  <si>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</si>
  <si>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</si>
  <si>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</si>
  <si>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</si>
  <si>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</si>
  <si>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</si>
  <si>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</si>
  <si>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</si>
  <si>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</si>
  <si>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</si>
  <si>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</si>
  <si>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</si>
  <si>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</si>
  <si>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</si>
  <si>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</si>
  <si>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</si>
  <si>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</si>
  <si>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</si>
  <si>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</si>
  <si>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</si>
  <si>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</si>
  <si>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</si>
  <si>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</si>
  <si>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</si>
  <si>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</si>
  <si>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</si>
  <si>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</si>
  <si>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</si>
  <si>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</si>
  <si>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</si>
  <si>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</si>
  <si>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</si>
  <si>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</si>
  <si>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</si>
  <si>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</si>
  <si>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</si>
  <si>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</si>
  <si>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</si>
  <si>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</si>
  <si>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</si>
  <si>
    <t>WACC:</t>
  </si>
  <si>
    <t>Scenarios</t>
  </si>
  <si>
    <t>Launch Year</t>
  </si>
  <si>
    <t>Adoption Speed</t>
  </si>
  <si>
    <t>adjust by probability</t>
  </si>
  <si>
    <t>costs, commerical modelling, profit shares etc to get eah ones NPV</t>
  </si>
  <si>
    <t>discount to get rNPV</t>
  </si>
  <si>
    <t xml:space="preserve">sum rNPVs for base portfolio or sum for segmental </t>
  </si>
  <si>
    <t>adjust for overlap + correlations</t>
  </si>
  <si>
    <t>equity bridge</t>
  </si>
  <si>
    <t>scenario model</t>
  </si>
  <si>
    <t>bridge into the SOTP as a separate operating asset</t>
  </si>
  <si>
    <t>AGILI-C Cartilage Implant (Sports Med)</t>
  </si>
  <si>
    <t>REGENETEN – Extra-articular Ligaments (Sports Med)</t>
  </si>
  <si>
    <t>CORIOGRAPH Pre-Op Planning (Orthopaedics)</t>
  </si>
  <si>
    <t>LEGION TKS Medial-Stabilised Insert (Orthopaedics)</t>
  </si>
  <si>
    <t>ALLEVYN COMPLETE CARE 5-Layer Foam (Advanced Wound)</t>
  </si>
  <si>
    <t>CENTRIO PRP System (Advanced Wound)</t>
  </si>
  <si>
    <t>Asset / Segment</t>
  </si>
  <si>
    <t>Details</t>
  </si>
  <si>
    <t>Targeted Launch</t>
  </si>
  <si>
    <t>Bear Success Chance</t>
  </si>
  <si>
    <t>Bull Success Chance</t>
  </si>
  <si>
    <t>Central Success Chance</t>
  </si>
  <si>
    <t>Annual Price Erosion</t>
  </si>
  <si>
    <t>Estimated EBIT Margin</t>
  </si>
  <si>
    <t>Maintainance CapEx</t>
  </si>
  <si>
    <t>NWC increase per Sale</t>
  </si>
  <si>
    <t>Segmental TAM</t>
  </si>
  <si>
    <t>Segment Share</t>
  </si>
  <si>
    <t>Fixed Cost Fraction</t>
  </si>
  <si>
    <t>Variable Cost Fraction</t>
  </si>
  <si>
    <t>Adoption Curve</t>
  </si>
  <si>
    <t>Years to Fully Adopt</t>
  </si>
  <si>
    <t>Modelled by:y=-x^2+2x</t>
  </si>
  <si>
    <t>Implied  TAM</t>
  </si>
  <si>
    <t>Sales multiplier</t>
  </si>
  <si>
    <t>Novel Revenue</t>
  </si>
  <si>
    <t>Retention Rate</t>
  </si>
  <si>
    <t>Perpetual Growth</t>
  </si>
  <si>
    <t>Returning Revenue</t>
  </si>
  <si>
    <t>Total Annual Revenue</t>
  </si>
  <si>
    <t>Fixed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</si>
</sst>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;\(0\);\-"/>
    <numFmt numFmtId="165" formatCode="[Color10]0.00%;[Red]\(0.00\)%;\-"/>
    <numFmt numFmtId="166" formatCode="0;[Red]\(0\);\-"/>
    <numFmt numFmtId="167" formatCode="[Color10]0%;[Red]\(0\)%;\-"/>
    <numFmt numFmtId="168" formatCode="[Color10]0.0%;[Red]\(0.0\)%;\-"/>
    <numFmt numFmtId="169" formatCode="0.0;\(0.0\);\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B2B2B2"/>
      </left>
      <right style="thin">
        <color rgb="FFB2B2B2"/>
      </right>
      <top/>
      <bottom/>
      <diagonal/>
    </border>
  </borders>
  <cellStyleXfs count="5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</cellStyleXfs>
  <cellXfs count="85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2" fillId="0" borderId="0" xfId="0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164" fontId="14" fillId="0" borderId="0" xfId="0" applyNumberFormat="1" applyFont="1"/>
    <xf numFmtId="0" fontId="10" fillId="0" borderId="0" xfId="0" applyFont="1" applyAlignment="1">
      <alignment horizontal="right"/>
    </xf>
    <xf numFmtId="1" fontId="0" fillId="0" borderId="0" xfId="0" applyNumberFormat="1"/>
    <xf numFmtId="1" fontId="0" fillId="0" borderId="4" xfId="0" applyNumberForma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  <xf numFmtId="164" fontId="0" fillId="2" borderId="1" xfId="1" applyNumberFormat="1" applyFont="1"/>
    <xf numFmtId="0" fontId="0" fillId="2" borderId="0" xfId="1" applyFont="1" applyBorder="1"/>
    <xf numFmtId="0" fontId="9" fillId="3" borderId="2" xfId="0" applyFont="1" applyFill="1" applyBorder="1" applyAlignment="1">
      <alignment horizontal="left"/>
    </xf>
    <xf numFmtId="166" fontId="0" fillId="0" borderId="0" xfId="0" applyNumberFormat="1"/>
    <xf numFmtId="165" fontId="3" fillId="0" borderId="0" xfId="2" applyNumberFormat="1" applyFont="1"/>
    <xf numFmtId="167" fontId="3" fillId="0" borderId="0" xfId="2" applyNumberFormat="1" applyFont="1"/>
    <xf numFmtId="168" fontId="3" fillId="0" borderId="0" xfId="2" applyNumberFormat="1" applyFont="1"/>
    <xf numFmtId="0" fontId="9" fillId="3" borderId="0" xfId="0" applyFont="1" applyFill="1" applyAlignment="1">
      <alignment horizontal="centerContinuous"/>
    </xf>
    <xf numFmtId="0" fontId="0" fillId="0" borderId="2" xfId="0" applyBorder="1"/>
    <xf numFmtId="166" fontId="0" fillId="0" borderId="2" xfId="0" applyNumberFormat="1" applyBorder="1"/>
    <xf numFmtId="0" fontId="0" fillId="2" borderId="2" xfId="1" applyFont="1" applyBorder="1"/>
    <xf numFmtId="169" fontId="0" fillId="2" borderId="1" xfId="1" applyNumberFormat="1" applyFont="1"/>
    <xf numFmtId="0" fontId="0" fillId="2" borderId="11" xfId="1" applyFont="1" applyBorder="1"/>
    <xf numFmtId="167" fontId="3" fillId="2" borderId="1" xfId="1" applyNumberFormat="1" applyFont="1"/>
    <xf numFmtId="166" fontId="2" fillId="0" borderId="0" xfId="0" applyNumberFormat="1" applyFont="1"/>
    <xf numFmtId="166" fontId="18" fillId="0" borderId="0" xfId="0" applyNumberFormat="1" applyFont="1"/>
  </cellXfs>
  <cellStyles count="5">
    <cellStyle name="Bad" xfId="4" builtinId="27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workbookViewId="0">
      <pane xSplit="1" topLeftCell="B1" activePane="topRight" state="frozen"/>
      <selection pane="topRight" activeCell="B28" sqref="B28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1093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23</v>
      </c>
    </row>
    <row r="3" spans="1:15" x14ac:dyDescent="0.3">
      <c r="A3" s="41" t="s">
        <v>8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16</v>
      </c>
      <c r="I3" s="8">
        <v>4.1000000000000002E-2</v>
      </c>
      <c r="O3" t="s">
        <v>38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37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9</v>
      </c>
      <c r="I5" s="8">
        <f>0.056</f>
        <v>5.6000000000000001E-2</v>
      </c>
    </row>
    <row r="6" spans="1:15" x14ac:dyDescent="0.3">
      <c r="A6" s="28" t="s">
        <v>6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10</v>
      </c>
      <c r="I6" s="2">
        <f>'[1]Balance Sheet'!$F$49</f>
        <v>2986</v>
      </c>
    </row>
    <row r="7" spans="1:15" x14ac:dyDescent="0.3">
      <c r="A7" s="42" t="s">
        <v>7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11</v>
      </c>
      <c r="I7" s="8">
        <f>I3+(I10*I11)</f>
        <v>6.6460000000000005E-2</v>
      </c>
    </row>
    <row r="8" spans="1:15" x14ac:dyDescent="0.3">
      <c r="A8" s="28" t="s">
        <v>18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12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13</v>
      </c>
      <c r="I9" s="2">
        <v>36.82</v>
      </c>
    </row>
    <row r="10" spans="1:15" x14ac:dyDescent="0.3">
      <c r="A10" s="28"/>
      <c r="B10" s="11" t="s">
        <v>46</v>
      </c>
      <c r="D10" s="29" t="s">
        <v>47</v>
      </c>
      <c r="H10" s="33" t="s">
        <v>14</v>
      </c>
      <c r="I10" s="2">
        <v>0.67</v>
      </c>
    </row>
    <row r="11" spans="1:15" x14ac:dyDescent="0.3">
      <c r="A11" s="41" t="s">
        <v>45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15</v>
      </c>
      <c r="I11" s="8">
        <v>3.7999999999999999E-2</v>
      </c>
    </row>
    <row r="12" spans="1:15" x14ac:dyDescent="0.3">
      <c r="A12" s="41" t="s">
        <v>19</v>
      </c>
      <c r="B12" s="5">
        <f>SUM(B8:F8)+B11</f>
        <v>19998.559034191887</v>
      </c>
      <c r="D12" s="5">
        <f>SUM(B8:F8)+D11</f>
        <v>18664.29657493173</v>
      </c>
      <c r="H12" s="33" t="s">
        <v>17</v>
      </c>
      <c r="I12" s="8">
        <v>0.02</v>
      </c>
    </row>
    <row r="13" spans="1:15" x14ac:dyDescent="0.3">
      <c r="A13" s="3"/>
      <c r="B13" s="5"/>
      <c r="H13" s="33" t="s">
        <v>49</v>
      </c>
      <c r="I13" s="31">
        <f>I8/'[1]Income Statement'!$F$40</f>
        <v>12.080269662921348</v>
      </c>
    </row>
    <row r="14" spans="1:15" x14ac:dyDescent="0.3">
      <c r="A14" s="11" t="s">
        <v>26</v>
      </c>
      <c r="B14" s="5"/>
    </row>
    <row r="15" spans="1:15" x14ac:dyDescent="0.3">
      <c r="A15" s="28" t="s">
        <v>27</v>
      </c>
      <c r="B15" s="45">
        <f>'[1]Balance Sheet'!$F$22</f>
        <v>2</v>
      </c>
      <c r="G15" s="32" t="s">
        <v>48</v>
      </c>
      <c r="H15" s="30"/>
      <c r="I15" s="30"/>
      <c r="J15" s="30"/>
      <c r="K15" s="30"/>
      <c r="L15" s="30"/>
    </row>
    <row r="16" spans="1:15" x14ac:dyDescent="0.3">
      <c r="A16" s="28" t="s">
        <v>28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29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 ca="1"/>
        <v>20738.04588044636</v>
      </c>
      <c r="I17" s="13">
        <v>18279.268545146788</v>
      </c>
      <c r="J17" s="13">
        <v>16333.77666838466</v>
      </c>
      <c r="K17" s="13">
        <v>14756.215972996846</v>
      </c>
      <c r="L17" s="15">
        <v>13451.376096116624</v>
      </c>
    </row>
    <row r="18" spans="1:12" x14ac:dyDescent="0.3">
      <c r="A18" s="28" t="s">
        <v>30</v>
      </c>
      <c r="B18" s="45">
        <f>'[1]Balance Sheet'!$F$24</f>
        <v>61</v>
      </c>
      <c r="G18" s="25">
        <f>G19-0.005</f>
        <v>1.4999999999999999E-2</v>
      </c>
      <c r="H18" s="13">
        <v>23507.18452249312</v>
      </c>
      <c r="I18" s="22">
        <v>20363.981477702382</v>
      </c>
      <c r="J18" s="24">
        <v>17952.977085372822</v>
      </c>
      <c r="K18" s="17">
        <v>16045.224202434993</v>
      </c>
      <c r="L18" s="15">
        <v>14498.211449864146</v>
      </c>
    </row>
    <row r="19" spans="1:12" x14ac:dyDescent="0.3">
      <c r="A19" s="28" t="s">
        <v>31</v>
      </c>
      <c r="B19" s="45">
        <f>'[1]Balance Sheet'!$F$30</f>
        <v>79</v>
      </c>
      <c r="G19" s="25">
        <v>0.02</v>
      </c>
      <c r="H19" s="13">
        <v>27266.171322328199</v>
      </c>
      <c r="I19" s="23">
        <v>23080.897107396344</v>
      </c>
      <c r="J19" s="12">
        <v>19998.559034191887</v>
      </c>
      <c r="K19" s="18">
        <v>17634.173464409418</v>
      </c>
      <c r="L19" s="15">
        <v>15763.249385015602</v>
      </c>
    </row>
    <row r="20" spans="1:12" x14ac:dyDescent="0.3">
      <c r="A20" s="28" t="s">
        <v>36</v>
      </c>
      <c r="B20" s="45">
        <f>'[1]Balance Sheet'!$F$29</f>
        <v>135</v>
      </c>
      <c r="G20" s="25">
        <f>G19+0.005</f>
        <v>2.5000000000000001E-2</v>
      </c>
      <c r="H20" s="13">
        <v>32661.250960215191</v>
      </c>
      <c r="I20" s="20">
        <v>26768.993410417326</v>
      </c>
      <c r="J20" s="21">
        <v>22664.476955923834</v>
      </c>
      <c r="K20" s="19">
        <v>19641.538268532982</v>
      </c>
      <c r="L20" s="15">
        <v>17322.650673170836</v>
      </c>
    </row>
    <row r="21" spans="1:12" x14ac:dyDescent="0.3">
      <c r="A21" s="28" t="s">
        <v>33</v>
      </c>
      <c r="B21" s="45">
        <f>'[1]Balance Sheet'!$F$31</f>
        <v>31</v>
      </c>
      <c r="G21" s="25">
        <f>G20+0.005</f>
        <v>3.0000000000000002E-2</v>
      </c>
      <c r="H21" s="14">
        <v>41057.700912803441</v>
      </c>
      <c r="I21" s="14">
        <v>32062.327579046978</v>
      </c>
      <c r="J21" s="14">
        <v>26283.346060226686</v>
      </c>
      <c r="K21" s="14">
        <v>22257.649448951077</v>
      </c>
      <c r="L21" s="16">
        <v>19292.686681405674</v>
      </c>
    </row>
    <row r="22" spans="1:12" x14ac:dyDescent="0.3">
      <c r="A22" s="28" t="s">
        <v>32</v>
      </c>
      <c r="B22" s="45">
        <f>'[1]Balance Sheet'!$F$32</f>
        <v>190</v>
      </c>
      <c r="I22" s="28" t="s">
        <v>24</v>
      </c>
      <c r="J22" s="3" t="s">
        <v>38</v>
      </c>
    </row>
    <row r="23" spans="1:12" x14ac:dyDescent="0.3">
      <c r="A23" s="28" t="s">
        <v>34</v>
      </c>
      <c r="B23" s="45">
        <f>'[1]Balance Sheet'!$F$3</f>
        <v>619</v>
      </c>
      <c r="H23" s="28" t="s">
        <v>40</v>
      </c>
      <c r="I23" s="27">
        <f>IF(J22="Bull",I20,IF(J22="Bear",K18,IF(J22="Central",J19,"Error")))</f>
        <v>19998.559034191887</v>
      </c>
      <c r="K23" s="28" t="s">
        <v>39</v>
      </c>
      <c r="L23" s="27">
        <f>I23-B25</f>
        <v>17012.559034191887</v>
      </c>
    </row>
    <row r="24" spans="1:12" x14ac:dyDescent="0.3">
      <c r="A24" s="28" t="s">
        <v>35</v>
      </c>
      <c r="B24" s="45">
        <f>'[1]Balance Sheet'!$F$12</f>
        <v>16</v>
      </c>
      <c r="I24" s="28" t="s">
        <v>58</v>
      </c>
      <c r="J24" s="27">
        <f>L23/B36*2</f>
        <v>38.841458982173258</v>
      </c>
    </row>
    <row r="25" spans="1:12" x14ac:dyDescent="0.3">
      <c r="A25" s="41" t="s">
        <v>25</v>
      </c>
      <c r="B25">
        <f>SUM(B15:B22)+(-1*SUM(B23:B24))</f>
        <v>2986</v>
      </c>
      <c r="I25" s="28" t="s">
        <v>44</v>
      </c>
      <c r="J25" s="27">
        <f>J24-B29</f>
        <v>2.0214589821732574</v>
      </c>
      <c r="K25" s="10">
        <f>J25/B29</f>
        <v>5.4901113041098785E-2</v>
      </c>
    </row>
    <row r="26" spans="1:12" x14ac:dyDescent="0.3">
      <c r="A26" s="41" t="s">
        <v>20</v>
      </c>
      <c r="B26" s="5">
        <f>B12-B25</f>
        <v>17012.559034191887</v>
      </c>
      <c r="D26" s="5">
        <f>D12-B25</f>
        <v>15678.29657493173</v>
      </c>
    </row>
    <row r="27" spans="1:12" x14ac:dyDescent="0.3">
      <c r="A27" s="41" t="s">
        <v>56</v>
      </c>
      <c r="B27" s="9">
        <f>B26/B36</f>
        <v>19.420729491086629</v>
      </c>
      <c r="D27" s="9">
        <f>D26/B36</f>
        <v>17.897598829830741</v>
      </c>
      <c r="G27" s="32" t="s">
        <v>50</v>
      </c>
      <c r="H27" s="30"/>
      <c r="I27" s="30"/>
      <c r="J27" s="30"/>
      <c r="K27" s="30"/>
      <c r="L27" s="30"/>
    </row>
    <row r="28" spans="1:12" x14ac:dyDescent="0.3">
      <c r="A28" s="41" t="s">
        <v>57</v>
      </c>
      <c r="B28" s="27">
        <f>B27*2</f>
        <v>38.841458982173258</v>
      </c>
      <c r="C28" s="27"/>
      <c r="D28" s="27">
        <f t="shared" ref="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21</v>
      </c>
      <c r="B29" s="47">
        <f>DCF!$I$9</f>
        <v>36.82</v>
      </c>
      <c r="D29" s="47">
        <f>DCF!$I$9</f>
        <v>36.82</v>
      </c>
      <c r="G29" s="51">
        <f>G30-1</f>
        <v>10.08</v>
      </c>
      <c r="H29" s="13">
        <f t="dataTable" ref="H29:L33" dt2D="1" dtr="1" r1="I4" r2="I13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22</v>
      </c>
      <c r="B30" s="9">
        <f>B28-B29</f>
        <v>2.0214589821732574</v>
      </c>
      <c r="C30" s="10">
        <f>B30/B29</f>
        <v>5.4901113041098785E-2</v>
      </c>
      <c r="D30" s="9">
        <f>D28-D29</f>
        <v>-1.0248023403385176</v>
      </c>
      <c r="E30" s="10">
        <f>D30/D29</f>
        <v>-2.7832763181382877E-2</v>
      </c>
      <c r="G30" s="51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1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1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1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41</v>
      </c>
      <c r="B34" s="48">
        <f>'[1]Income Statement'!$F$24</f>
        <v>873</v>
      </c>
      <c r="I34" s="28" t="s">
        <v>24</v>
      </c>
      <c r="J34" s="3" t="s">
        <v>38</v>
      </c>
    </row>
    <row r="35" spans="1:12" x14ac:dyDescent="0.3">
      <c r="A35" s="28" t="s">
        <v>42</v>
      </c>
      <c r="B35" s="48">
        <v>3</v>
      </c>
      <c r="H35" s="28" t="s">
        <v>40</v>
      </c>
      <c r="I35" s="27">
        <f>IF(J34="Bull",I32,IF(J34="Bear",K30,IF(J34="Central",J31,"Error")))</f>
        <v>18663.947972395497</v>
      </c>
      <c r="K35" s="28" t="s">
        <v>39</v>
      </c>
      <c r="L35" s="27">
        <f>I35-B37</f>
        <v>18663.947972395497</v>
      </c>
    </row>
    <row r="36" spans="1:12" x14ac:dyDescent="0.3">
      <c r="A36" s="41" t="s">
        <v>43</v>
      </c>
      <c r="B36" s="3">
        <f>B34+B35</f>
        <v>876</v>
      </c>
      <c r="I36" s="28" t="s">
        <v>58</v>
      </c>
      <c r="J36" s="27">
        <f>L35/B36*2</f>
        <v>42.611753361633554</v>
      </c>
    </row>
    <row r="37" spans="1:12" x14ac:dyDescent="0.3">
      <c r="I37" s="28" t="s">
        <v>44</v>
      </c>
      <c r="J37" s="27">
        <f>J36-B29</f>
        <v>5.7917533616335533</v>
      </c>
      <c r="K37" s="10">
        <f>J37/B29</f>
        <v>0.15729911356962392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A38"/>
  <sheetViews>
    <sheetView showGridLines="0" workbookViewId="0">
      <pane xSplit="1" topLeftCell="B1" activePane="topRight" state="frozen"/>
      <selection pane="topRight" activeCell="N39" sqref="N39"/>
    </sheetView>
  </sheetViews>
  <sheetFormatPr defaultRowHeight="14.4" x14ac:dyDescent="0.3"/>
  <cols>
    <col min="1" max="1" width="30.5546875" bestFit="1" customWidth="1"/>
    <col min="2" max="2" width="8.88671875" customWidth="1"/>
    <col min="22" max="22" width="37.88671875" bestFit="1" customWidth="1"/>
    <col min="23" max="23" width="7.77734375" bestFit="1" customWidth="1"/>
    <col min="27" max="27" width="6.88671875" hidden="1" customWidth="1"/>
  </cols>
  <sheetData>
    <row r="1" spans="1:27" x14ac:dyDescent="0.3">
      <c r="A1" s="34"/>
      <c r="B1" s="34" t="s">
        <v>51</v>
      </c>
      <c r="C1" s="34"/>
      <c r="D1" s="34"/>
      <c r="E1" s="34"/>
      <c r="F1" s="34"/>
      <c r="G1" s="35"/>
      <c r="H1" s="34" t="s">
        <v>52</v>
      </c>
      <c r="I1" s="34"/>
      <c r="J1" s="34"/>
      <c r="K1" s="34"/>
      <c r="L1" s="34"/>
      <c r="M1" s="35"/>
      <c r="N1" s="34" t="s">
        <v>53</v>
      </c>
      <c r="O1" s="34"/>
      <c r="P1" s="34"/>
      <c r="Q1" s="34"/>
      <c r="R1" s="34"/>
      <c r="S1" s="35"/>
      <c r="T1" s="58" t="s">
        <v>61</v>
      </c>
      <c r="U1" s="52"/>
      <c r="V1" s="52"/>
      <c r="W1" s="52"/>
      <c r="X1" s="52"/>
      <c r="Y1" s="52"/>
    </row>
    <row r="2" spans="1:27" x14ac:dyDescent="0.3">
      <c r="A2" s="37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57">
        <v>2024</v>
      </c>
      <c r="U2" s="52"/>
      <c r="V2" s="33" t="s">
        <v>1</v>
      </c>
      <c r="W2" s="46">
        <f>'[1]Balance Sheet'!$N$7</f>
        <v>0.10567499999999999</v>
      </c>
      <c r="X2" s="52"/>
      <c r="Y2" s="52"/>
      <c r="AA2" t="s">
        <v>37</v>
      </c>
    </row>
    <row r="3" spans="1:27" x14ac:dyDescent="0.3">
      <c r="A3" s="43" t="s">
        <v>54</v>
      </c>
      <c r="B3" s="53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9">
        <f>'[1]Income Statement'!K43</f>
        <v>2902.230826911697</v>
      </c>
      <c r="H3" s="45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9">
        <f>'[1]Income Statement'!K44</f>
        <v>2699.405880996329</v>
      </c>
      <c r="N3" s="45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50">
        <f>'[1]Income Statement'!K45</f>
        <v>2295.8221185186958</v>
      </c>
      <c r="T3" s="59">
        <f>'[1]Income Statement'!F2</f>
        <v>5810</v>
      </c>
      <c r="U3" s="52"/>
      <c r="V3" s="33" t="s">
        <v>16</v>
      </c>
      <c r="W3" s="8">
        <v>4.1000000000000002E-2</v>
      </c>
      <c r="X3" s="52"/>
      <c r="Y3" s="52"/>
      <c r="AA3" t="s">
        <v>38</v>
      </c>
    </row>
    <row r="4" spans="1:27" s="3" customFormat="1" x14ac:dyDescent="0.3">
      <c r="A4" s="44" t="s">
        <v>3</v>
      </c>
      <c r="B4" s="56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56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56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60">
        <f>'[1]Income Statement'!F8</f>
        <v>886</v>
      </c>
      <c r="U4" s="52"/>
      <c r="V4" s="33" t="s">
        <v>2</v>
      </c>
      <c r="W4" s="8">
        <f>(((W8/(W8+W6))*W7)+((W6/(W8+W6))*W5))*(1-W2)</f>
        <v>5.7975388146743925E-2</v>
      </c>
      <c r="X4" s="52"/>
      <c r="Y4" s="52"/>
      <c r="AA4" t="s">
        <v>23</v>
      </c>
    </row>
    <row r="5" spans="1:27" s="3" customFormat="1" x14ac:dyDescent="0.3">
      <c r="A5" s="43" t="s">
        <v>59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52"/>
      <c r="U5" s="52"/>
      <c r="V5" s="33" t="s">
        <v>9</v>
      </c>
      <c r="W5" s="8">
        <f>0.056</f>
        <v>5.6000000000000001E-2</v>
      </c>
      <c r="X5" s="52"/>
      <c r="Y5" s="52"/>
    </row>
    <row r="6" spans="1:27" x14ac:dyDescent="0.3">
      <c r="A6" s="44" t="s">
        <v>55</v>
      </c>
      <c r="B6" s="5">
        <f t="shared" ref="B6:S6" si="3">B4*(1-$W$2)</f>
        <v>236.99612500000001</v>
      </c>
      <c r="C6" s="5">
        <f t="shared" si="3"/>
        <v>248.17238211772872</v>
      </c>
      <c r="D6" s="5">
        <f t="shared" si="3"/>
        <v>259.87568887882856</v>
      </c>
      <c r="E6" s="5">
        <f t="shared" si="3"/>
        <v>272.13089987671583</v>
      </c>
      <c r="F6" s="5">
        <f t="shared" si="3"/>
        <v>284.96404179707872</v>
      </c>
      <c r="G6" s="40">
        <f t="shared" si="3"/>
        <v>298.40236869137436</v>
      </c>
      <c r="H6" s="5">
        <f t="shared" si="3"/>
        <v>390.82002500000004</v>
      </c>
      <c r="I6" s="5">
        <f t="shared" si="3"/>
        <v>422.69341224690044</v>
      </c>
      <c r="J6" s="5">
        <f t="shared" si="3"/>
        <v>457.16623849284122</v>
      </c>
      <c r="K6" s="5">
        <f t="shared" si="3"/>
        <v>494.45050138518189</v>
      </c>
      <c r="L6" s="5">
        <f t="shared" si="3"/>
        <v>534.77548807201822</v>
      </c>
      <c r="M6" s="40">
        <f t="shared" si="3"/>
        <v>578.38918525007261</v>
      </c>
      <c r="N6" s="5">
        <f t="shared" si="3"/>
        <v>356.83567500000004</v>
      </c>
      <c r="O6" s="5">
        <f t="shared" si="3"/>
        <v>379.7889907523774</v>
      </c>
      <c r="P6" s="5">
        <f t="shared" si="3"/>
        <v>404.21876959670419</v>
      </c>
      <c r="Q6" s="5">
        <f t="shared" si="3"/>
        <v>430.21998444606209</v>
      </c>
      <c r="R6" s="5">
        <f t="shared" si="3"/>
        <v>457.89371730916037</v>
      </c>
      <c r="S6" s="40">
        <f t="shared" si="3"/>
        <v>487.3475522555317</v>
      </c>
      <c r="T6" s="5"/>
      <c r="U6" s="5"/>
      <c r="V6" s="33" t="s">
        <v>10</v>
      </c>
      <c r="W6" s="2">
        <f>'[1]Balance Sheet'!$F$49</f>
        <v>2986</v>
      </c>
      <c r="X6" s="5"/>
      <c r="Y6" s="5"/>
    </row>
    <row r="7" spans="1:27" x14ac:dyDescent="0.3">
      <c r="A7" s="44"/>
      <c r="B7" s="41"/>
      <c r="C7" s="5"/>
      <c r="D7" s="5"/>
      <c r="E7" s="5"/>
      <c r="F7" s="5"/>
      <c r="G7" s="40"/>
      <c r="H7" s="5"/>
      <c r="I7" s="5"/>
      <c r="J7" s="5"/>
      <c r="K7" s="5"/>
      <c r="L7" s="5"/>
      <c r="M7" s="40"/>
      <c r="N7" s="5"/>
      <c r="O7" s="5"/>
      <c r="P7" s="5"/>
      <c r="Q7" s="5"/>
      <c r="R7" s="5"/>
      <c r="S7" s="40"/>
      <c r="T7" s="5"/>
      <c r="V7" s="33" t="s">
        <v>11</v>
      </c>
      <c r="W7" s="8">
        <f>W3+(W10*W11)</f>
        <v>6.6460000000000005E-2</v>
      </c>
    </row>
    <row r="8" spans="1:27" x14ac:dyDescent="0.3">
      <c r="A8" s="43" t="s">
        <v>4</v>
      </c>
      <c r="B8" s="28">
        <v>213</v>
      </c>
      <c r="C8" s="54">
        <f>$B$9*'[1]Income Statement'!G39</f>
        <v>224.90961461788868</v>
      </c>
      <c r="D8" s="54">
        <f>$B$9*'[1]Income Statement'!H39</f>
        <v>239.10575461472399</v>
      </c>
      <c r="E8" s="54">
        <f>$B$9*'[1]Income Statement'!I39</f>
        <v>254.24485396145781</v>
      </c>
      <c r="F8" s="54">
        <f>$B$9*'[1]Income Statement'!J39</f>
        <v>270.39244614722719</v>
      </c>
      <c r="G8" s="55">
        <f>$B$9*'[1]Income Statement'!K39</f>
        <v>287.61879333642975</v>
      </c>
      <c r="H8" s="1">
        <v>98</v>
      </c>
      <c r="I8" s="1">
        <f>$H$9*'[1]Income Statement'!G39</f>
        <v>103.47954099790184</v>
      </c>
      <c r="J8" s="1">
        <f>$H$9*'[1]Income Statement'!H39</f>
        <v>110.01109836733779</v>
      </c>
      <c r="K8" s="1">
        <f>$H$9*'[1]Income Statement'!I39</f>
        <v>116.97650557851111</v>
      </c>
      <c r="L8" s="1">
        <f>$H$9*'[1]Income Statement'!J39</f>
        <v>124.40591418980407</v>
      </c>
      <c r="M8" s="39">
        <f>$H$9*'[1]Income Statement'!K39</f>
        <v>132.33165139422587</v>
      </c>
      <c r="N8" s="1">
        <v>62</v>
      </c>
      <c r="O8" s="1">
        <f>$N$9*'[1]Income Statement'!G39</f>
        <v>65.466648386427678</v>
      </c>
      <c r="P8" s="1">
        <f>$N$9*'[1]Income Statement'!H39</f>
        <v>69.598858150764727</v>
      </c>
      <c r="Q8" s="1">
        <f>$N$9*'[1]Income Statement'!I39</f>
        <v>74.00554434558866</v>
      </c>
      <c r="R8" s="1">
        <f>$N$9*'[1]Income Statement'!J39</f>
        <v>78.705782446610726</v>
      </c>
      <c r="S8" s="39">
        <f>$N$9*'[1]Income Statement'!K39</f>
        <v>83.720024351449027</v>
      </c>
      <c r="T8" s="1"/>
      <c r="U8" s="1"/>
      <c r="V8" s="33" t="s">
        <v>12</v>
      </c>
      <c r="W8" s="7">
        <f>W9*('[1]Income Statement'!$F$25*'[1]Income Statement'!$N$8)</f>
        <v>16127.16</v>
      </c>
      <c r="X8" s="1"/>
      <c r="Y8" s="1"/>
    </row>
    <row r="9" spans="1:27" x14ac:dyDescent="0.3">
      <c r="A9" s="43" t="s">
        <v>60</v>
      </c>
      <c r="B9" s="10">
        <f>B8/'[1]Income Statement'!F39</f>
        <v>0.47438752783964366</v>
      </c>
      <c r="C9" s="10"/>
      <c r="D9" s="1"/>
      <c r="E9" s="1"/>
      <c r="F9" s="1"/>
      <c r="G9" s="39"/>
      <c r="H9" s="10">
        <f>H8/'[1]Income Statement'!F39</f>
        <v>0.21826280623608019</v>
      </c>
      <c r="I9" s="1"/>
      <c r="J9" s="1"/>
      <c r="K9" s="1"/>
      <c r="L9" s="1"/>
      <c r="M9" s="39"/>
      <c r="N9" s="10">
        <f>N8/'[1]Income Statement'!F39</f>
        <v>0.13808463251670378</v>
      </c>
      <c r="O9" s="1"/>
      <c r="P9" s="1"/>
      <c r="Q9" s="1"/>
      <c r="R9" s="1"/>
      <c r="S9" s="39"/>
      <c r="T9" s="1"/>
      <c r="V9" s="33" t="s">
        <v>13</v>
      </c>
      <c r="W9" s="2">
        <v>36.82</v>
      </c>
    </row>
    <row r="10" spans="1:27" x14ac:dyDescent="0.3">
      <c r="A10" s="44"/>
      <c r="B10" s="41"/>
      <c r="C10" s="5"/>
      <c r="D10" s="5"/>
      <c r="E10" s="5"/>
      <c r="F10" s="5"/>
      <c r="G10" s="40"/>
      <c r="H10" s="5"/>
      <c r="I10" s="5"/>
      <c r="J10" s="5"/>
      <c r="K10" s="5"/>
      <c r="L10" s="5"/>
      <c r="M10" s="40"/>
      <c r="N10" s="5"/>
      <c r="O10" s="5"/>
      <c r="P10" s="5"/>
      <c r="Q10" s="5"/>
      <c r="R10" s="5"/>
      <c r="S10" s="40"/>
      <c r="T10" s="5"/>
      <c r="V10" s="33" t="s">
        <v>14</v>
      </c>
      <c r="W10" s="2">
        <v>0.67</v>
      </c>
    </row>
    <row r="11" spans="1:27" x14ac:dyDescent="0.3">
      <c r="A11" s="43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1"/>
      <c r="V11" s="33" t="s">
        <v>15</v>
      </c>
      <c r="W11" s="8">
        <v>3.7999999999999999E-2</v>
      </c>
    </row>
    <row r="12" spans="1:27" x14ac:dyDescent="0.3">
      <c r="A12" s="43" t="s">
        <v>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1"/>
      <c r="V12" s="33" t="s">
        <v>17</v>
      </c>
      <c r="W12" s="8">
        <v>0.02</v>
      </c>
    </row>
    <row r="13" spans="1:27" x14ac:dyDescent="0.3">
      <c r="A13" s="43" t="s">
        <v>62</v>
      </c>
      <c r="B13" s="10">
        <f>(B3-B4)/((B3-B4)+(H3-H4)+(N3-N4))</f>
        <v>0.43321299638989169</v>
      </c>
      <c r="C13" s="1"/>
      <c r="D13" s="1"/>
      <c r="E13" s="1"/>
      <c r="F13" s="1"/>
      <c r="G13" s="39"/>
      <c r="H13" s="10">
        <f>(H3-H4)/((B3-B4)+(H3-H4)+(N3-N4))</f>
        <v>0.29454236568273517</v>
      </c>
      <c r="I13" s="1"/>
      <c r="J13" s="1"/>
      <c r="K13" s="1"/>
      <c r="L13" s="1"/>
      <c r="M13" s="39"/>
      <c r="N13" s="10">
        <f>(N3-N4)/((B3-B4)+(H3-H4)+(N3-N4))</f>
        <v>0.27224463792737313</v>
      </c>
      <c r="O13" s="1"/>
      <c r="P13" s="1"/>
      <c r="Q13" s="1"/>
      <c r="R13" s="1"/>
      <c r="S13" s="39"/>
      <c r="T13" s="1"/>
      <c r="V13" s="33" t="s">
        <v>49</v>
      </c>
      <c r="W13" s="31">
        <f>W8/'[1]Income Statement'!$F$40</f>
        <v>12.080269662921348</v>
      </c>
    </row>
    <row r="14" spans="1:27" x14ac:dyDescent="0.3">
      <c r="A14" s="43"/>
      <c r="B14" s="10"/>
      <c r="C14" s="1"/>
      <c r="D14" s="1"/>
      <c r="E14" s="1"/>
      <c r="F14" s="1"/>
      <c r="G14" s="39"/>
      <c r="H14" s="10"/>
      <c r="I14" s="1"/>
      <c r="J14" s="1"/>
      <c r="K14" s="1"/>
      <c r="L14" s="1"/>
      <c r="M14" s="39"/>
      <c r="N14" s="10"/>
      <c r="O14" s="1"/>
      <c r="P14" s="1"/>
      <c r="Q14" s="1"/>
      <c r="R14" s="1"/>
      <c r="S14" s="39"/>
      <c r="T14" s="1"/>
    </row>
    <row r="15" spans="1:27" s="3" customFormat="1" x14ac:dyDescent="0.3">
      <c r="A15" s="44" t="s">
        <v>7</v>
      </c>
      <c r="B15" s="5"/>
      <c r="C15" s="5">
        <f t="shared" ref="C15:S15" si="4">SUM(C12,C11,C8,C6)</f>
        <v>201.51828811100489</v>
      </c>
      <c r="D15" s="5">
        <f t="shared" si="4"/>
        <v>214.36083940975044</v>
      </c>
      <c r="E15" s="5">
        <f t="shared" si="4"/>
        <v>227.83096771892707</v>
      </c>
      <c r="F15" s="5">
        <f t="shared" si="4"/>
        <v>241.95995880658955</v>
      </c>
      <c r="G15" s="40">
        <f t="shared" si="4"/>
        <v>256.78070528418471</v>
      </c>
      <c r="H15" s="5"/>
      <c r="I15" s="5">
        <f t="shared" si="4"/>
        <v>341.53625527306815</v>
      </c>
      <c r="J15" s="5">
        <f t="shared" si="4"/>
        <v>373.66323006398613</v>
      </c>
      <c r="K15" s="5">
        <f t="shared" si="4"/>
        <v>408.44582149928374</v>
      </c>
      <c r="L15" s="5">
        <f t="shared" si="4"/>
        <v>446.10248759809065</v>
      </c>
      <c r="M15" s="40">
        <f t="shared" si="4"/>
        <v>486.86960453478866</v>
      </c>
      <c r="N15" s="5"/>
      <c r="O15" s="5">
        <f t="shared" si="4"/>
        <v>274.59648499333781</v>
      </c>
      <c r="P15" s="5">
        <f t="shared" si="4"/>
        <v>294.9531108673541</v>
      </c>
      <c r="Q15" s="5">
        <f t="shared" si="4"/>
        <v>316.61061908337911</v>
      </c>
      <c r="R15" s="5">
        <f t="shared" si="4"/>
        <v>339.65128879765717</v>
      </c>
      <c r="S15" s="40">
        <f t="shared" si="4"/>
        <v>364.16254447692188</v>
      </c>
      <c r="T15" s="5"/>
      <c r="U15"/>
      <c r="V15"/>
      <c r="AA15"/>
    </row>
    <row r="16" spans="1:27" x14ac:dyDescent="0.3">
      <c r="A16" s="61" t="s">
        <v>63</v>
      </c>
      <c r="B16" s="62"/>
      <c r="C16" s="62">
        <f>C15/((1+$W$4)^(C2-2024))</f>
        <v>190.47540270667787</v>
      </c>
      <c r="D16" s="62">
        <f>D15/((1+$W$4)^(D2-2024))</f>
        <v>191.51126259893149</v>
      </c>
      <c r="E16" s="62">
        <f>E15/((1+$W$4)^(E2-2024))</f>
        <v>192.39157969931165</v>
      </c>
      <c r="F16" s="62">
        <f>F15/((1+$W$4)^(F2-2024))</f>
        <v>193.12622116425743</v>
      </c>
      <c r="G16" s="63">
        <f>G15/((1+$W$4)^(G2-2024))</f>
        <v>193.72450666737925</v>
      </c>
      <c r="H16" s="62"/>
      <c r="I16" s="62">
        <f>I15/((1+$W$4)^(I2-2024))</f>
        <v>322.82060537470289</v>
      </c>
      <c r="J16" s="62">
        <f>J15/((1+$W$4)^(J2-2024))</f>
        <v>333.83297608552834</v>
      </c>
      <c r="K16" s="62">
        <f>K15/((1+$W$4)^(K2-2024))</f>
        <v>344.91157021628231</v>
      </c>
      <c r="L16" s="62">
        <f>L15/((1+$W$4)^(L2-2024))</f>
        <v>356.06754153343797</v>
      </c>
      <c r="M16" s="63">
        <f>M15/((1+$W$4)^(M2-2024))</f>
        <v>367.3117645091736</v>
      </c>
      <c r="N16" s="62"/>
      <c r="O16" s="62">
        <f>O15/((1+$W$4)^(O2-2024))</f>
        <v>259.54902927784417</v>
      </c>
      <c r="P16" s="62">
        <f>P15/((1+$W$4)^(P2-2024))</f>
        <v>263.51288241466108</v>
      </c>
      <c r="Q16" s="62">
        <f>Q15/((1+$W$4)^(Q2-2024))</f>
        <v>267.36144679934995</v>
      </c>
      <c r="R16" s="62">
        <f>R15/((1+$W$4)^(R2-2024))</f>
        <v>271.10093026381759</v>
      </c>
      <c r="S16" s="63">
        <f>S15/((1+$W$4)^(S2-2024))</f>
        <v>274.73718945297367</v>
      </c>
      <c r="T16" s="1"/>
    </row>
    <row r="17" spans="1:20" x14ac:dyDescent="0.3">
      <c r="A17" s="36"/>
      <c r="B17" s="11"/>
      <c r="C17" s="1"/>
      <c r="D17" s="1"/>
      <c r="E17" s="1"/>
      <c r="F17" s="1"/>
      <c r="G17" s="39"/>
      <c r="H17" s="1"/>
      <c r="I17" s="1"/>
      <c r="J17" s="1"/>
      <c r="K17" s="1"/>
      <c r="L17" s="1"/>
      <c r="M17" s="39"/>
      <c r="N17" s="1"/>
      <c r="O17" s="1"/>
      <c r="P17" s="1"/>
      <c r="Q17" s="1"/>
      <c r="R17" s="1"/>
      <c r="S17" s="39"/>
      <c r="T17" s="1"/>
    </row>
    <row r="18" spans="1:20" x14ac:dyDescent="0.3">
      <c r="A18" s="43" t="s">
        <v>45</v>
      </c>
      <c r="B18" s="5">
        <f>((G16*(1+$W$12))/($W$4-$W$12))/((1+$W$4)^5)</f>
        <v>3925.587753420532</v>
      </c>
      <c r="C18" s="1"/>
      <c r="D18" s="1"/>
      <c r="E18" s="1"/>
      <c r="F18" s="1"/>
      <c r="G18" s="39"/>
      <c r="H18" s="5">
        <f>((M16*(1+$W$12))/($W$4-$W$12))/((1+$W$4)^5)</f>
        <v>7443.119041826928</v>
      </c>
      <c r="I18" s="1"/>
      <c r="J18" s="1"/>
      <c r="K18" s="1"/>
      <c r="L18" s="1"/>
      <c r="M18" s="39"/>
      <c r="N18" s="5">
        <f>((S16*(1+$W$12))/($W$4-$W$12))/((1+$W$4)^5)</f>
        <v>5567.2096673733668</v>
      </c>
      <c r="O18" s="1"/>
      <c r="P18" s="1"/>
      <c r="Q18" s="1"/>
      <c r="R18" s="1"/>
      <c r="S18" s="39"/>
      <c r="T18" s="1"/>
    </row>
    <row r="19" spans="1:20" x14ac:dyDescent="0.3">
      <c r="A19" s="28" t="s">
        <v>64</v>
      </c>
      <c r="B19" s="64">
        <f>B18+SUM(C16:G16)</f>
        <v>4886.8167262570896</v>
      </c>
      <c r="C19" s="1"/>
      <c r="D19" s="1"/>
      <c r="E19" s="1"/>
      <c r="F19" s="1"/>
      <c r="G19" s="39"/>
      <c r="H19" s="64">
        <f>H18+SUM(I16:M16)</f>
        <v>9168.0634995460532</v>
      </c>
      <c r="I19" s="1"/>
      <c r="J19" s="1"/>
      <c r="K19" s="1"/>
      <c r="L19" s="1"/>
      <c r="M19" s="39"/>
      <c r="N19" s="64">
        <f>N18+SUM(O16:S16)</f>
        <v>6903.4711455820134</v>
      </c>
      <c r="O19" s="1"/>
      <c r="P19" s="1"/>
      <c r="Q19" s="1"/>
      <c r="R19" s="1"/>
      <c r="S19" s="39"/>
      <c r="T19" s="1"/>
    </row>
    <row r="20" spans="1:20" x14ac:dyDescent="0.3">
      <c r="A20" s="28"/>
      <c r="B20" s="28"/>
      <c r="C20" s="1"/>
      <c r="D20" s="1"/>
      <c r="E20" s="1"/>
      <c r="F20" s="1"/>
      <c r="G20" s="39"/>
      <c r="H20" s="1"/>
      <c r="I20" s="1"/>
      <c r="J20" s="1"/>
      <c r="K20" s="1"/>
      <c r="L20" s="1"/>
      <c r="M20" s="39"/>
      <c r="N20" s="1"/>
      <c r="O20" s="1"/>
      <c r="P20" s="1"/>
      <c r="Q20" s="1"/>
      <c r="R20" s="1"/>
      <c r="S20" s="39"/>
      <c r="T20" s="1"/>
    </row>
    <row r="21" spans="1:20" x14ac:dyDescent="0.3">
      <c r="C21" s="1"/>
      <c r="D21" s="1"/>
      <c r="E21" s="1"/>
      <c r="F21" s="1"/>
      <c r="G21" s="39"/>
      <c r="H21" s="1"/>
      <c r="I21" s="1"/>
      <c r="J21" s="1"/>
      <c r="K21" s="1"/>
      <c r="L21" s="1"/>
      <c r="M21" s="39"/>
      <c r="N21" s="1"/>
      <c r="O21" s="1"/>
      <c r="P21" s="1"/>
      <c r="Q21" s="1"/>
      <c r="R21" s="1"/>
      <c r="S21" s="39"/>
      <c r="T21" s="1"/>
    </row>
    <row r="22" spans="1:20" x14ac:dyDescent="0.3">
      <c r="A22" s="28"/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1"/>
    </row>
    <row r="23" spans="1:20" x14ac:dyDescent="0.3">
      <c r="A23" s="28"/>
      <c r="B23" s="25">
        <f>B24-0.005</f>
        <v>9.9999999999999985E-3</v>
      </c>
      <c r="C23" s="13">
        <f t="dataTable" ref="C23:G27" dt2D="1" dtr="1" r1="W4" r2="W12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 ca="1"/>
        <v>9880.4455126833091</v>
      </c>
      <c r="J23" s="13">
        <v>8578.8129624867179</v>
      </c>
      <c r="K23" s="13">
        <v>7558.8566930507823</v>
      </c>
      <c r="L23" s="13">
        <v>6740.2065210509136</v>
      </c>
      <c r="M23" s="15">
        <v>6070.2542104668173</v>
      </c>
      <c r="N23" s="25">
        <f>N24-0.005</f>
        <v>9.9999999999999985E-3</v>
      </c>
      <c r="O23" s="13">
        <f t="dataTable" ref="O23:S27" dt2D="1" dtr="1" r1="W4" r2="W12" ca="1"/>
        <v>7437.2030569098843</v>
      </c>
      <c r="P23" s="13">
        <v>6463.1740032007383</v>
      </c>
      <c r="Q23" s="13">
        <v>5699.8370723421285</v>
      </c>
      <c r="R23" s="13">
        <v>5087.0778264244991</v>
      </c>
      <c r="S23" s="15">
        <v>4585.5468610883636</v>
      </c>
      <c r="T23" s="1"/>
    </row>
    <row r="24" spans="1:20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11155.505974961536</v>
      </c>
      <c r="J24" s="22">
        <v>9516.1518926646331</v>
      </c>
      <c r="K24" s="24">
        <v>8269.8479803938171</v>
      </c>
      <c r="L24" s="17">
        <v>7293.023203210988</v>
      </c>
      <c r="M24" s="15">
        <v>6508.7986967273428</v>
      </c>
      <c r="N24" s="25">
        <f>N25-0.005</f>
        <v>1.4999999999999999E-2</v>
      </c>
      <c r="O24" s="13">
        <v>8390.9065906287997</v>
      </c>
      <c r="P24" s="22">
        <v>7164.2728737638836</v>
      </c>
      <c r="Q24" s="24">
        <v>6231.6353072045413</v>
      </c>
      <c r="R24" s="17">
        <v>5500.5666286204441</v>
      </c>
      <c r="S24" s="15">
        <v>4913.563797236091</v>
      </c>
      <c r="T24" s="1"/>
    </row>
    <row r="25" spans="1:20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12886.345801440162</v>
      </c>
      <c r="J25" s="23">
        <v>10737.744923508979</v>
      </c>
      <c r="K25" s="12">
        <v>9168.0634995460532</v>
      </c>
      <c r="L25" s="18">
        <v>7974.475531493079</v>
      </c>
      <c r="M25" s="15">
        <v>7038.7534879799077</v>
      </c>
      <c r="N25" s="25">
        <v>0.02</v>
      </c>
      <c r="O25" s="13">
        <v>9685.5181856465642</v>
      </c>
      <c r="P25" s="23">
        <v>8077.9845170541266</v>
      </c>
      <c r="Q25" s="12">
        <v>6903.4711455820134</v>
      </c>
      <c r="R25" s="18">
        <v>6010.2706879733569</v>
      </c>
      <c r="S25" s="15">
        <v>5309.9526525738038</v>
      </c>
      <c r="T25" s="1"/>
    </row>
    <row r="26" spans="1:20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15370.530822970002</v>
      </c>
      <c r="J26" s="20">
        <v>12396.005007706268</v>
      </c>
      <c r="K26" s="21">
        <v>10338.668691612849</v>
      </c>
      <c r="L26" s="19">
        <v>8835.3736433571103</v>
      </c>
      <c r="M26" s="15">
        <v>7692.0241616726671</v>
      </c>
      <c r="N26" s="25">
        <f>N25+0.005</f>
        <v>2.5000000000000001E-2</v>
      </c>
      <c r="O26" s="13">
        <v>11543.607353599795</v>
      </c>
      <c r="P26" s="20">
        <v>9318.3088380657282</v>
      </c>
      <c r="Q26" s="21">
        <v>7779.0455526725273</v>
      </c>
      <c r="R26" s="19">
        <v>6654.1943259078798</v>
      </c>
      <c r="S26" s="15">
        <v>5798.5777557806932</v>
      </c>
      <c r="T26" s="1"/>
    </row>
    <row r="27" spans="1:20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19236.708267278118</v>
      </c>
      <c r="J27" s="14">
        <v>14776.020073193089</v>
      </c>
      <c r="K27" s="14">
        <v>11927.714974086126</v>
      </c>
      <c r="L27" s="14">
        <v>9957.3446827126845</v>
      </c>
      <c r="M27" s="16">
        <v>8517.3195875992678</v>
      </c>
      <c r="N27" s="25">
        <f>N26+0.005</f>
        <v>3.0000000000000002E-2</v>
      </c>
      <c r="O27" s="14">
        <v>14435.38166525314</v>
      </c>
      <c r="P27" s="14">
        <v>11098.482285059294</v>
      </c>
      <c r="Q27" s="14">
        <v>8967.6002131549576</v>
      </c>
      <c r="R27" s="14">
        <v>7493.3919770151942</v>
      </c>
      <c r="S27" s="16">
        <v>6415.8717487745016</v>
      </c>
      <c r="T27" s="1"/>
    </row>
    <row r="28" spans="1:20" x14ac:dyDescent="0.3">
      <c r="A28" s="30" t="s">
        <v>24</v>
      </c>
      <c r="B28" s="66" t="s">
        <v>38</v>
      </c>
      <c r="C28" s="30"/>
      <c r="D28" s="30"/>
      <c r="E28" s="30"/>
      <c r="F28" s="30"/>
      <c r="G28" s="30"/>
      <c r="H28" s="66" t="s">
        <v>38</v>
      </c>
      <c r="I28" s="30"/>
      <c r="J28" s="30"/>
      <c r="K28" s="30"/>
      <c r="L28" s="30"/>
      <c r="M28" s="30"/>
      <c r="N28" s="66" t="s">
        <v>38</v>
      </c>
      <c r="O28" s="30"/>
      <c r="P28" s="30"/>
      <c r="Q28" s="30"/>
      <c r="R28" s="30"/>
      <c r="S28" s="30"/>
      <c r="T28" s="1"/>
    </row>
    <row r="29" spans="1:20" x14ac:dyDescent="0.3">
      <c r="A29" s="30" t="s">
        <v>40</v>
      </c>
      <c r="B29" s="67">
        <f>IF(B28="Bull",D26,IF(B28="Bear",F24,IF(B28="Central",E25,"Error")))</f>
        <v>4886.8167262570896</v>
      </c>
      <c r="C29" s="30"/>
      <c r="D29" s="30"/>
      <c r="E29" s="30"/>
      <c r="F29" s="30"/>
      <c r="G29" s="68"/>
      <c r="H29" s="67">
        <f>IF(H28="Bull",J26,IF(H28="Bear",L24,IF(H28="Central",K25,"Error")))</f>
        <v>9168.0634995460532</v>
      </c>
      <c r="I29" s="30"/>
      <c r="J29" s="30"/>
      <c r="K29" s="30"/>
      <c r="L29" s="30"/>
      <c r="M29" s="68"/>
      <c r="N29" s="67">
        <f>IF(N28="Bull",P26,IF(N28="Bear",R24,IF(N28="Central",Q25,"Error")))</f>
        <v>6903.4711455820134</v>
      </c>
      <c r="O29" s="30"/>
      <c r="P29" s="30"/>
      <c r="Q29" s="30"/>
      <c r="R29" s="30"/>
      <c r="S29" s="68"/>
      <c r="T29" s="1"/>
    </row>
    <row r="30" spans="1:20" x14ac:dyDescent="0.3">
      <c r="D30" s="28"/>
      <c r="E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8" t="s">
        <v>25</v>
      </c>
      <c r="B31" s="28">
        <f>DCF!B25</f>
        <v>2986</v>
      </c>
      <c r="C31" s="1"/>
      <c r="D31" s="28"/>
      <c r="E31" s="27"/>
      <c r="F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8" t="s">
        <v>65</v>
      </c>
      <c r="B32" s="64">
        <f>B29+H29+N29</f>
        <v>20958.351371385157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8" t="s">
        <v>56</v>
      </c>
      <c r="B33" s="65">
        <f>B32/DCF!B36</f>
        <v>23.925058643133742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41" t="s">
        <v>66</v>
      </c>
      <c r="B34" s="3">
        <f>B33*2</f>
        <v>47.850117286267484</v>
      </c>
      <c r="C34" s="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8" t="s">
        <v>67</v>
      </c>
      <c r="B35">
        <f>DCF!I9</f>
        <v>36.82</v>
      </c>
      <c r="C35" s="1"/>
    </row>
    <row r="36" spans="1:20" x14ac:dyDescent="0.3">
      <c r="A36" s="28" t="s">
        <v>22</v>
      </c>
      <c r="B36" s="27">
        <f>B34-B35</f>
        <v>11.030117286267483</v>
      </c>
      <c r="C36" s="10">
        <f>B36/B35</f>
        <v>0.29956863895348951</v>
      </c>
    </row>
    <row r="38" spans="1:20" x14ac:dyDescent="0.3">
      <c r="A38" s="28" t="s">
        <v>96</v>
      </c>
      <c r="B38">
        <v>7250</v>
      </c>
      <c r="H38">
        <v>16800</v>
      </c>
      <c r="N38">
        <v>12140</v>
      </c>
    </row>
  </sheetData>
  <dataValidations disablePrompts="1"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:BN43"/>
  <sheetViews>
    <sheetView showGridLines="0" tabSelected="1" zoomScaleNormal="100" workbookViewId="0">
      <pane xSplit="1" topLeftCell="L1" activePane="topRight" state="frozen"/>
      <selection pane="topRight" activeCell="AC21" sqref="AC21"/>
    </sheetView>
  </sheetViews>
  <sheetFormatPr defaultRowHeight="14.4" x14ac:dyDescent="0.3"/>
  <cols>
    <col min="1" max="1" width="20.77734375" bestFit="1" customWidth="1"/>
    <col min="2" max="40" width="8.77734375" customWidth="1"/>
    <col min="42" max="55" width="8.77734375" customWidth="1"/>
    <col min="57" max="57" width="13.5546875" bestFit="1" customWidth="1"/>
  </cols>
  <sheetData>
    <row r="1" spans="1:66" x14ac:dyDescent="0.3">
      <c r="A1" s="71" t="s">
        <v>86</v>
      </c>
      <c r="B1" s="37"/>
      <c r="C1" s="37" t="s">
        <v>80</v>
      </c>
      <c r="D1" s="37"/>
      <c r="E1" s="37"/>
      <c r="F1" s="37"/>
      <c r="G1" s="37"/>
      <c r="H1" s="37"/>
      <c r="I1" s="37"/>
      <c r="J1" s="37"/>
      <c r="K1" s="37" t="s">
        <v>81</v>
      </c>
      <c r="L1" s="37"/>
      <c r="M1" s="37"/>
      <c r="N1" s="37"/>
      <c r="O1" s="37"/>
      <c r="P1" s="37"/>
      <c r="Q1" s="37"/>
      <c r="R1" s="37"/>
      <c r="S1" s="37"/>
      <c r="T1" s="37" t="s">
        <v>82</v>
      </c>
      <c r="U1" s="37"/>
      <c r="V1" s="37"/>
      <c r="W1" s="37"/>
      <c r="X1" s="37"/>
      <c r="Y1" s="37"/>
      <c r="Z1" s="37"/>
      <c r="AA1" s="37"/>
      <c r="AB1" s="37"/>
      <c r="AC1" s="37" t="s">
        <v>83</v>
      </c>
      <c r="AD1" s="37"/>
      <c r="AE1" s="37"/>
      <c r="AF1" s="37"/>
      <c r="AG1" s="37"/>
      <c r="AH1" s="37"/>
      <c r="AI1" s="37"/>
      <c r="AJ1" s="37"/>
      <c r="AK1" s="37"/>
      <c r="AL1" s="37" t="s">
        <v>84</v>
      </c>
      <c r="AM1" s="37"/>
      <c r="AN1" s="37"/>
      <c r="AO1" s="37"/>
      <c r="AP1" s="37"/>
      <c r="AQ1" s="37"/>
      <c r="AR1" s="37"/>
      <c r="AS1" s="37"/>
      <c r="AT1" s="37"/>
      <c r="AU1" s="37" t="s">
        <v>85</v>
      </c>
      <c r="AV1" s="37"/>
      <c r="AW1" s="37"/>
      <c r="AX1" s="37"/>
      <c r="AY1" s="37"/>
      <c r="AZ1" s="37"/>
      <c r="BA1" s="76"/>
      <c r="BB1" s="76"/>
      <c r="BC1" s="76"/>
      <c r="BE1" s="8" t="s">
        <v>107</v>
      </c>
      <c r="BF1" s="8">
        <v>0.02</v>
      </c>
    </row>
    <row r="2" spans="1:66" x14ac:dyDescent="0.3">
      <c r="A2" s="37" t="s">
        <v>0</v>
      </c>
      <c r="B2" s="37" t="s">
        <v>87</v>
      </c>
      <c r="C2" s="37">
        <v>2025</v>
      </c>
      <c r="D2" s="37">
        <v>2026</v>
      </c>
      <c r="E2" s="37">
        <v>2027</v>
      </c>
      <c r="F2" s="37">
        <v>2028</v>
      </c>
      <c r="G2" s="37">
        <v>2029</v>
      </c>
      <c r="H2" s="37">
        <v>2030</v>
      </c>
      <c r="I2" s="37">
        <v>2031</v>
      </c>
      <c r="J2" s="37">
        <v>2032</v>
      </c>
      <c r="K2" s="37" t="s">
        <v>87</v>
      </c>
      <c r="L2" s="37">
        <v>2025</v>
      </c>
      <c r="M2" s="37">
        <v>2026</v>
      </c>
      <c r="N2" s="37">
        <v>2027</v>
      </c>
      <c r="O2" s="37">
        <v>2028</v>
      </c>
      <c r="P2" s="37">
        <v>2029</v>
      </c>
      <c r="Q2" s="37">
        <v>2030</v>
      </c>
      <c r="R2" s="37">
        <v>2031</v>
      </c>
      <c r="S2" s="37">
        <v>2032</v>
      </c>
      <c r="T2" s="37" t="s">
        <v>87</v>
      </c>
      <c r="U2" s="37">
        <v>2025</v>
      </c>
      <c r="V2" s="37">
        <v>2026</v>
      </c>
      <c r="W2" s="37">
        <v>2027</v>
      </c>
      <c r="X2" s="37">
        <v>2028</v>
      </c>
      <c r="Y2" s="37">
        <v>2029</v>
      </c>
      <c r="Z2" s="37">
        <v>2030</v>
      </c>
      <c r="AA2" s="37">
        <v>2031</v>
      </c>
      <c r="AB2" s="37">
        <v>2032</v>
      </c>
      <c r="AC2" s="37" t="s">
        <v>87</v>
      </c>
      <c r="AD2" s="37">
        <v>2025</v>
      </c>
      <c r="AE2" s="37">
        <v>2026</v>
      </c>
      <c r="AF2" s="37">
        <v>2027</v>
      </c>
      <c r="AG2" s="37">
        <v>2028</v>
      </c>
      <c r="AH2" s="37">
        <v>2029</v>
      </c>
      <c r="AI2" s="37">
        <v>2030</v>
      </c>
      <c r="AJ2" s="37">
        <v>2031</v>
      </c>
      <c r="AK2" s="37">
        <v>2032</v>
      </c>
      <c r="AL2" s="37" t="s">
        <v>87</v>
      </c>
      <c r="AM2" s="37">
        <v>2025</v>
      </c>
      <c r="AN2" s="37">
        <v>2026</v>
      </c>
      <c r="AO2" s="37">
        <v>2027</v>
      </c>
      <c r="AP2" s="37">
        <v>2028</v>
      </c>
      <c r="AQ2" s="37">
        <v>2029</v>
      </c>
      <c r="AR2" s="37">
        <v>2030</v>
      </c>
      <c r="AS2" s="37">
        <v>2031</v>
      </c>
      <c r="AT2" s="37">
        <v>2032</v>
      </c>
      <c r="AU2" s="37" t="s">
        <v>87</v>
      </c>
      <c r="AV2" s="37">
        <v>2025</v>
      </c>
      <c r="AW2" s="37">
        <v>2026</v>
      </c>
      <c r="AX2" s="37">
        <v>2027</v>
      </c>
      <c r="AY2" s="37">
        <v>2028</v>
      </c>
      <c r="AZ2" s="37">
        <v>2029</v>
      </c>
      <c r="BA2" s="37">
        <v>2030</v>
      </c>
      <c r="BB2" s="37">
        <v>2031</v>
      </c>
      <c r="BC2" s="37">
        <v>2032</v>
      </c>
      <c r="BE2" s="8" t="s">
        <v>1</v>
      </c>
      <c r="BF2" s="8">
        <f>SOTP!W2</f>
        <v>0.10567499999999999</v>
      </c>
    </row>
    <row r="3" spans="1:66" x14ac:dyDescent="0.3">
      <c r="A3" t="s">
        <v>88</v>
      </c>
      <c r="B3" s="72">
        <v>2027</v>
      </c>
      <c r="C3" s="72"/>
      <c r="D3" s="72"/>
      <c r="E3" s="72"/>
      <c r="F3" s="72"/>
      <c r="G3" s="72"/>
      <c r="H3" s="72"/>
      <c r="I3" s="72"/>
      <c r="J3" s="72"/>
      <c r="K3" s="72">
        <v>2028</v>
      </c>
      <c r="L3" s="72"/>
      <c r="M3" s="72"/>
      <c r="N3" s="72"/>
      <c r="O3" s="72"/>
      <c r="P3" s="72"/>
      <c r="Q3" s="72"/>
      <c r="R3" s="72"/>
      <c r="S3" s="72"/>
      <c r="T3" s="72">
        <v>2027</v>
      </c>
      <c r="U3" s="72"/>
      <c r="V3" s="72"/>
      <c r="W3" s="72"/>
      <c r="X3" s="72"/>
      <c r="Y3" s="72"/>
      <c r="Z3" s="72"/>
      <c r="AA3" s="72"/>
      <c r="AB3" s="72"/>
      <c r="AC3" s="72">
        <v>2027</v>
      </c>
      <c r="AD3" s="72"/>
      <c r="AE3" s="72"/>
      <c r="AF3" s="72"/>
      <c r="AG3" s="72"/>
      <c r="AH3" s="72"/>
      <c r="AI3" s="72"/>
      <c r="AJ3" s="72"/>
      <c r="AK3" s="72"/>
      <c r="AL3" s="72">
        <v>2027</v>
      </c>
      <c r="AM3" s="72"/>
      <c r="AN3" s="72"/>
      <c r="AO3" s="72"/>
      <c r="AP3" s="72"/>
      <c r="AQ3" s="72"/>
      <c r="AR3" s="72"/>
      <c r="AS3" s="72"/>
      <c r="AT3" s="72"/>
      <c r="AU3" s="72">
        <v>2028</v>
      </c>
      <c r="AV3" s="72"/>
      <c r="AW3" s="72"/>
      <c r="AX3" s="72"/>
      <c r="AY3" s="72"/>
      <c r="AZ3" s="72"/>
      <c r="BA3" s="72"/>
      <c r="BB3" s="72"/>
      <c r="BC3" s="72"/>
      <c r="BE3" s="8" t="s">
        <v>68</v>
      </c>
      <c r="BF3" s="8">
        <f>SOTP!W4</f>
        <v>5.7975388146743925E-2</v>
      </c>
    </row>
    <row r="4" spans="1:66" x14ac:dyDescent="0.3">
      <c r="A4" t="s">
        <v>89</v>
      </c>
      <c r="B4" s="74">
        <v>0.45</v>
      </c>
      <c r="C4" s="74"/>
      <c r="D4" s="74"/>
      <c r="E4" s="74"/>
      <c r="F4" s="74"/>
      <c r="G4" s="74"/>
      <c r="H4" s="74"/>
      <c r="I4" s="74"/>
      <c r="J4" s="74"/>
      <c r="K4" s="74">
        <v>0.35</v>
      </c>
      <c r="L4" s="74"/>
      <c r="M4" s="74"/>
      <c r="N4" s="74"/>
      <c r="O4" s="74"/>
      <c r="P4" s="74"/>
      <c r="Q4" s="74"/>
      <c r="R4" s="74"/>
      <c r="S4" s="74"/>
      <c r="T4" s="74">
        <v>0.45</v>
      </c>
      <c r="U4" s="74"/>
      <c r="V4" s="74"/>
      <c r="W4" s="74"/>
      <c r="X4" s="74"/>
      <c r="Y4" s="74"/>
      <c r="Z4" s="74"/>
      <c r="AA4" s="74"/>
      <c r="AB4" s="74"/>
      <c r="AC4" s="74">
        <v>0.5</v>
      </c>
      <c r="AD4" s="74"/>
      <c r="AE4" s="74"/>
      <c r="AF4" s="74"/>
      <c r="AG4" s="74"/>
      <c r="AH4" s="74"/>
      <c r="AI4" s="74"/>
      <c r="AJ4" s="74"/>
      <c r="AK4" s="74"/>
      <c r="AL4" s="74">
        <v>0.3</v>
      </c>
      <c r="AM4" s="74"/>
      <c r="AN4" s="74"/>
      <c r="AO4" s="74"/>
      <c r="AP4" s="74"/>
      <c r="AQ4" s="74"/>
      <c r="AR4" s="74"/>
      <c r="AS4" s="74"/>
      <c r="AT4" s="74"/>
      <c r="AU4" s="74">
        <v>0.4</v>
      </c>
      <c r="AV4" s="74"/>
      <c r="AW4" s="74"/>
      <c r="AX4" s="74"/>
      <c r="AY4" s="74"/>
      <c r="AZ4" s="74"/>
      <c r="BA4" s="74"/>
      <c r="BB4" s="74"/>
      <c r="BC4" s="74"/>
      <c r="BE4" s="2" t="s">
        <v>69</v>
      </c>
      <c r="BF4" s="2" t="s">
        <v>37</v>
      </c>
      <c r="BG4" s="2" t="s">
        <v>38</v>
      </c>
      <c r="BH4" s="2" t="s">
        <v>23</v>
      </c>
    </row>
    <row r="5" spans="1:66" s="72" customFormat="1" x14ac:dyDescent="0.3">
      <c r="A5" t="s">
        <v>91</v>
      </c>
      <c r="B5" s="74">
        <v>0.65</v>
      </c>
      <c r="C5" s="74"/>
      <c r="D5" s="74"/>
      <c r="E5" s="74"/>
      <c r="F5" s="74"/>
      <c r="G5" s="74"/>
      <c r="H5" s="74"/>
      <c r="I5" s="74"/>
      <c r="J5" s="74"/>
      <c r="K5" s="74">
        <v>0.55000000000000004</v>
      </c>
      <c r="L5" s="74"/>
      <c r="M5" s="74"/>
      <c r="N5" s="74"/>
      <c r="O5" s="74"/>
      <c r="P5" s="74"/>
      <c r="Q5" s="74"/>
      <c r="R5" s="74"/>
      <c r="S5" s="74"/>
      <c r="T5" s="74">
        <v>0.65</v>
      </c>
      <c r="U5" s="74"/>
      <c r="V5" s="74"/>
      <c r="W5" s="74"/>
      <c r="X5" s="74"/>
      <c r="Y5" s="74"/>
      <c r="Z5" s="74"/>
      <c r="AA5" s="74"/>
      <c r="AB5" s="74"/>
      <c r="AC5" s="74">
        <v>0.7</v>
      </c>
      <c r="AD5" s="74"/>
      <c r="AE5" s="74"/>
      <c r="AF5" s="74"/>
      <c r="AG5" s="74"/>
      <c r="AH5" s="74"/>
      <c r="AI5" s="74"/>
      <c r="AJ5" s="74"/>
      <c r="AK5" s="74"/>
      <c r="AL5" s="74">
        <v>0.55000000000000004</v>
      </c>
      <c r="AM5" s="74"/>
      <c r="AN5" s="74"/>
      <c r="AO5" s="74"/>
      <c r="AP5" s="74"/>
      <c r="AQ5" s="74"/>
      <c r="AR5" s="74"/>
      <c r="AS5" s="74"/>
      <c r="AT5" s="74"/>
      <c r="AU5" s="74">
        <v>0.6</v>
      </c>
      <c r="AV5" s="74"/>
      <c r="AW5" s="74"/>
      <c r="AX5" s="74"/>
      <c r="AY5" s="74"/>
      <c r="AZ5" s="74"/>
      <c r="BA5" s="74"/>
      <c r="BB5" s="74"/>
      <c r="BC5" s="74"/>
      <c r="BD5"/>
      <c r="BE5" s="2" t="s">
        <v>70</v>
      </c>
      <c r="BF5" s="69">
        <v>-1</v>
      </c>
      <c r="BG5" s="69">
        <v>0</v>
      </c>
      <c r="BH5" s="69">
        <v>1</v>
      </c>
    </row>
    <row r="6" spans="1:66" x14ac:dyDescent="0.3">
      <c r="A6" t="s">
        <v>90</v>
      </c>
      <c r="B6" s="74">
        <v>0.85</v>
      </c>
      <c r="C6" s="74"/>
      <c r="D6" s="74"/>
      <c r="E6" s="74"/>
      <c r="F6" s="74"/>
      <c r="G6" s="74"/>
      <c r="H6" s="74"/>
      <c r="I6" s="74"/>
      <c r="J6" s="74"/>
      <c r="K6" s="74">
        <v>0.75</v>
      </c>
      <c r="L6" s="74"/>
      <c r="M6" s="74"/>
      <c r="N6" s="74"/>
      <c r="O6" s="74"/>
      <c r="P6" s="74"/>
      <c r="Q6" s="74"/>
      <c r="R6" s="74"/>
      <c r="S6" s="74"/>
      <c r="T6" s="74">
        <v>0.8</v>
      </c>
      <c r="U6" s="74"/>
      <c r="V6" s="74"/>
      <c r="W6" s="74"/>
      <c r="X6" s="74"/>
      <c r="Y6" s="74"/>
      <c r="Z6" s="74"/>
      <c r="AA6" s="74"/>
      <c r="AB6" s="74"/>
      <c r="AC6" s="74">
        <v>0.85</v>
      </c>
      <c r="AD6" s="74"/>
      <c r="AE6" s="74"/>
      <c r="AF6" s="74"/>
      <c r="AG6" s="74"/>
      <c r="AH6" s="74"/>
      <c r="AI6" s="74"/>
      <c r="AJ6" s="74"/>
      <c r="AK6" s="74"/>
      <c r="AL6" s="74">
        <v>0.75</v>
      </c>
      <c r="AM6" s="74"/>
      <c r="AN6" s="74"/>
      <c r="AO6" s="74"/>
      <c r="AP6" s="74"/>
      <c r="AQ6" s="74"/>
      <c r="AR6" s="74"/>
      <c r="AS6" s="74"/>
      <c r="AT6" s="74"/>
      <c r="AU6" s="74">
        <v>0.8</v>
      </c>
      <c r="AV6" s="74"/>
      <c r="AW6" s="74"/>
      <c r="AX6" s="74"/>
      <c r="AY6" s="74"/>
      <c r="AZ6" s="74"/>
      <c r="BA6" s="74"/>
      <c r="BB6" s="74"/>
      <c r="BC6" s="74"/>
      <c r="BE6" s="2" t="s">
        <v>104</v>
      </c>
      <c r="BF6" s="80">
        <v>0.8</v>
      </c>
      <c r="BG6" s="80">
        <v>1</v>
      </c>
      <c r="BH6" s="80">
        <v>1.2</v>
      </c>
    </row>
    <row r="7" spans="1:66" x14ac:dyDescent="0.3">
      <c r="A7" s="72" t="s">
        <v>92</v>
      </c>
      <c r="B7" s="74">
        <v>0.02</v>
      </c>
      <c r="C7" s="74"/>
      <c r="D7" s="74"/>
      <c r="E7" s="74"/>
      <c r="F7" s="74"/>
      <c r="G7" s="74"/>
      <c r="H7" s="74"/>
      <c r="I7" s="74"/>
      <c r="J7" s="74"/>
      <c r="K7" s="74">
        <v>0.03</v>
      </c>
      <c r="L7" s="74"/>
      <c r="M7" s="74"/>
      <c r="N7" s="74"/>
      <c r="O7" s="74"/>
      <c r="P7" s="74"/>
      <c r="Q7" s="74"/>
      <c r="R7" s="74"/>
      <c r="S7" s="74"/>
      <c r="T7" s="74">
        <v>0.02</v>
      </c>
      <c r="U7" s="74"/>
      <c r="V7" s="74"/>
      <c r="W7" s="74"/>
      <c r="X7" s="74"/>
      <c r="Y7" s="74"/>
      <c r="Z7" s="74"/>
      <c r="AA7" s="74"/>
      <c r="AB7" s="74"/>
      <c r="AC7" s="74">
        <v>0.02</v>
      </c>
      <c r="AD7" s="74"/>
      <c r="AE7" s="74"/>
      <c r="AF7" s="74"/>
      <c r="AG7" s="74"/>
      <c r="AH7" s="74"/>
      <c r="AI7" s="74"/>
      <c r="AJ7" s="74"/>
      <c r="AK7" s="74"/>
      <c r="AL7" s="74">
        <v>0.01</v>
      </c>
      <c r="AM7" s="74"/>
      <c r="AN7" s="74"/>
      <c r="AO7" s="74"/>
      <c r="AP7" s="74"/>
      <c r="AQ7" s="74"/>
      <c r="AR7" s="74"/>
      <c r="AS7" s="74"/>
      <c r="AT7" s="74"/>
      <c r="AU7" s="74">
        <v>0.01</v>
      </c>
      <c r="AV7" s="74"/>
      <c r="AW7" s="74"/>
      <c r="AX7" s="74"/>
      <c r="AY7" s="74"/>
      <c r="AZ7" s="74"/>
      <c r="BA7" s="74"/>
      <c r="BB7" s="74"/>
      <c r="BC7" s="74"/>
      <c r="BD7" s="72"/>
      <c r="BE7" s="2" t="s">
        <v>71</v>
      </c>
      <c r="BF7" s="2">
        <v>0.9</v>
      </c>
      <c r="BG7" s="2">
        <v>1</v>
      </c>
      <c r="BH7" s="2">
        <v>1.1000000000000001</v>
      </c>
    </row>
    <row r="8" spans="1:66" x14ac:dyDescent="0.3">
      <c r="A8" t="s">
        <v>93</v>
      </c>
      <c r="B8" s="74">
        <v>0.24</v>
      </c>
      <c r="C8" s="74"/>
      <c r="D8" s="74"/>
      <c r="E8" s="74"/>
      <c r="F8" s="74"/>
      <c r="G8" s="74"/>
      <c r="H8" s="74"/>
      <c r="I8" s="74"/>
      <c r="J8" s="74"/>
      <c r="K8" s="74">
        <v>0.26</v>
      </c>
      <c r="L8" s="74"/>
      <c r="M8" s="74"/>
      <c r="N8" s="74"/>
      <c r="O8" s="74"/>
      <c r="P8" s="74"/>
      <c r="Q8" s="74"/>
      <c r="R8" s="74"/>
      <c r="S8" s="74"/>
      <c r="T8" s="74">
        <v>0.2</v>
      </c>
      <c r="U8" s="74"/>
      <c r="V8" s="74"/>
      <c r="W8" s="74"/>
      <c r="X8" s="74"/>
      <c r="Y8" s="74"/>
      <c r="Z8" s="74"/>
      <c r="AA8" s="74"/>
      <c r="AB8" s="74"/>
      <c r="AC8" s="74">
        <v>0.16</v>
      </c>
      <c r="AD8" s="74"/>
      <c r="AE8" s="74"/>
      <c r="AF8" s="74"/>
      <c r="AG8" s="74"/>
      <c r="AH8" s="74"/>
      <c r="AI8" s="74"/>
      <c r="AJ8" s="74"/>
      <c r="AK8" s="74"/>
      <c r="AL8" s="74">
        <v>0.24</v>
      </c>
      <c r="AM8" s="74"/>
      <c r="AN8" s="74"/>
      <c r="AO8" s="74"/>
      <c r="AP8" s="74"/>
      <c r="AQ8" s="74"/>
      <c r="AR8" s="74"/>
      <c r="AS8" s="74"/>
      <c r="AT8" s="74"/>
      <c r="AU8" s="74">
        <v>0.23</v>
      </c>
      <c r="AV8" s="74"/>
      <c r="AW8" s="74"/>
      <c r="AX8" s="74"/>
      <c r="AY8" s="74"/>
      <c r="AZ8" s="74"/>
      <c r="BA8" s="74"/>
      <c r="BB8" s="74"/>
      <c r="BC8" s="74"/>
      <c r="BE8" s="81" t="s">
        <v>106</v>
      </c>
      <c r="BF8" s="82">
        <v>0.75</v>
      </c>
      <c r="BG8" s="82">
        <v>0.85</v>
      </c>
      <c r="BH8" s="82">
        <v>0.95</v>
      </c>
      <c r="BN8" s="70" t="s">
        <v>73</v>
      </c>
    </row>
    <row r="9" spans="1:66" x14ac:dyDescent="0.3">
      <c r="A9" t="s">
        <v>98</v>
      </c>
      <c r="B9" s="74">
        <v>0.2</v>
      </c>
      <c r="C9" s="74"/>
      <c r="D9" s="74"/>
      <c r="E9" s="74"/>
      <c r="F9" s="74"/>
      <c r="G9" s="74"/>
      <c r="H9" s="74"/>
      <c r="I9" s="74"/>
      <c r="J9" s="74"/>
      <c r="K9" s="74">
        <v>0.25</v>
      </c>
      <c r="L9" s="74"/>
      <c r="M9" s="74"/>
      <c r="N9" s="74"/>
      <c r="O9" s="74"/>
      <c r="P9" s="74"/>
      <c r="Q9" s="74"/>
      <c r="R9" s="74"/>
      <c r="S9" s="74"/>
      <c r="T9" s="74">
        <v>0.3</v>
      </c>
      <c r="U9" s="74"/>
      <c r="V9" s="74"/>
      <c r="W9" s="74"/>
      <c r="X9" s="74"/>
      <c r="Y9" s="74"/>
      <c r="Z9" s="74"/>
      <c r="AA9" s="74"/>
      <c r="AB9" s="74"/>
      <c r="AC9" s="74">
        <v>0.3</v>
      </c>
      <c r="AD9" s="74"/>
      <c r="AE9" s="74"/>
      <c r="AF9" s="74"/>
      <c r="AG9" s="74"/>
      <c r="AH9" s="74"/>
      <c r="AI9" s="74"/>
      <c r="AJ9" s="74"/>
      <c r="AK9" s="74"/>
      <c r="AL9" s="74">
        <v>0.35</v>
      </c>
      <c r="AM9" s="74"/>
      <c r="AN9" s="74"/>
      <c r="AO9" s="74"/>
      <c r="AP9" s="74"/>
      <c r="AQ9" s="74"/>
      <c r="AR9" s="74"/>
      <c r="AS9" s="74"/>
      <c r="AT9" s="74"/>
      <c r="AU9" s="74">
        <v>0.15</v>
      </c>
      <c r="AV9" s="74"/>
      <c r="AW9" s="74"/>
      <c r="AX9" s="74"/>
      <c r="AY9" s="74"/>
      <c r="AZ9" s="74"/>
      <c r="BA9" s="74"/>
      <c r="BB9" s="74"/>
      <c r="BC9" s="74"/>
      <c r="BN9" s="70" t="s">
        <v>72</v>
      </c>
    </row>
    <row r="10" spans="1:66" x14ac:dyDescent="0.3">
      <c r="A10" t="s">
        <v>99</v>
      </c>
      <c r="B10" s="74">
        <v>0.8</v>
      </c>
      <c r="C10" s="74"/>
      <c r="D10" s="74"/>
      <c r="E10" s="74"/>
      <c r="F10" s="74"/>
      <c r="G10" s="74"/>
      <c r="H10" s="74"/>
      <c r="I10" s="74"/>
      <c r="J10" s="74"/>
      <c r="K10" s="74">
        <v>0.75</v>
      </c>
      <c r="L10" s="74"/>
      <c r="M10" s="74"/>
      <c r="N10" s="74"/>
      <c r="O10" s="74"/>
      <c r="P10" s="74"/>
      <c r="Q10" s="74"/>
      <c r="R10" s="74"/>
      <c r="S10" s="74"/>
      <c r="T10" s="74">
        <v>0.7</v>
      </c>
      <c r="U10" s="74"/>
      <c r="V10" s="74"/>
      <c r="W10" s="74"/>
      <c r="X10" s="74"/>
      <c r="Y10" s="74"/>
      <c r="Z10" s="74"/>
      <c r="AA10" s="74"/>
      <c r="AB10" s="74"/>
      <c r="AC10" s="74">
        <v>0.7</v>
      </c>
      <c r="AD10" s="74"/>
      <c r="AE10" s="74"/>
      <c r="AF10" s="74"/>
      <c r="AG10" s="74"/>
      <c r="AH10" s="74"/>
      <c r="AI10" s="74"/>
      <c r="AJ10" s="74"/>
      <c r="AK10" s="74"/>
      <c r="AL10" s="74">
        <v>0.65</v>
      </c>
      <c r="AM10" s="74"/>
      <c r="AN10" s="74"/>
      <c r="AO10" s="74"/>
      <c r="AP10" s="74"/>
      <c r="AQ10" s="74"/>
      <c r="AR10" s="74"/>
      <c r="AS10" s="74"/>
      <c r="AT10" s="74"/>
      <c r="AU10" s="74">
        <v>0.85</v>
      </c>
      <c r="AV10" s="74"/>
      <c r="AW10" s="74"/>
      <c r="AX10" s="74"/>
      <c r="AY10" s="74"/>
      <c r="AZ10" s="74"/>
      <c r="BA10" s="74"/>
      <c r="BB10" s="74"/>
      <c r="BC10" s="74"/>
      <c r="BN10" s="70" t="s">
        <v>74</v>
      </c>
    </row>
    <row r="11" spans="1:66" x14ac:dyDescent="0.3">
      <c r="A11" t="s">
        <v>94</v>
      </c>
      <c r="B11" s="74">
        <v>0.02</v>
      </c>
      <c r="C11" s="72"/>
      <c r="D11" s="72"/>
      <c r="E11" s="72"/>
      <c r="F11" s="72"/>
      <c r="G11" s="72"/>
      <c r="H11" s="72"/>
      <c r="I11" s="72"/>
      <c r="J11" s="72"/>
      <c r="K11" s="74">
        <v>1.4999999999999999E-2</v>
      </c>
      <c r="L11" s="72"/>
      <c r="M11" s="72"/>
      <c r="N11" s="72"/>
      <c r="O11" s="72"/>
      <c r="P11" s="72"/>
      <c r="Q11" s="72"/>
      <c r="R11" s="72"/>
      <c r="S11" s="72"/>
      <c r="T11" s="74">
        <v>1.4999999999999999E-2</v>
      </c>
      <c r="U11" s="72"/>
      <c r="V11" s="72"/>
      <c r="W11" s="72"/>
      <c r="X11" s="72"/>
      <c r="Y11" s="72"/>
      <c r="Z11" s="72"/>
      <c r="AA11" s="72"/>
      <c r="AB11" s="72"/>
      <c r="AC11" s="74">
        <v>1.4999999999999999E-2</v>
      </c>
      <c r="AD11" s="72"/>
      <c r="AE11" s="72"/>
      <c r="AF11" s="72"/>
      <c r="AG11" s="72"/>
      <c r="AH11" s="72"/>
      <c r="AI11" s="72"/>
      <c r="AJ11" s="72"/>
      <c r="AK11" s="72"/>
      <c r="AL11" s="74">
        <v>1.4999999999999999E-2</v>
      </c>
      <c r="AM11" s="72"/>
      <c r="AN11" s="72"/>
      <c r="AO11" s="72"/>
      <c r="AP11" s="72"/>
      <c r="AQ11" s="72"/>
      <c r="AR11" s="72"/>
      <c r="AS11" s="72"/>
      <c r="AT11" s="72"/>
      <c r="AU11" s="74">
        <v>0.01</v>
      </c>
      <c r="AV11" s="72"/>
      <c r="AW11" s="72"/>
      <c r="AX11" s="72"/>
      <c r="AY11" s="72"/>
      <c r="AZ11" s="72"/>
      <c r="BA11" s="72"/>
      <c r="BB11" s="72"/>
      <c r="BC11" s="72"/>
      <c r="BN11" s="70" t="s">
        <v>75</v>
      </c>
    </row>
    <row r="12" spans="1:66" x14ac:dyDescent="0.3">
      <c r="A12" t="s">
        <v>95</v>
      </c>
      <c r="B12" s="74">
        <v>0.08</v>
      </c>
      <c r="C12" s="72"/>
      <c r="D12" s="72"/>
      <c r="E12" s="72"/>
      <c r="F12" s="72"/>
      <c r="G12" s="72"/>
      <c r="H12" s="72"/>
      <c r="I12" s="72"/>
      <c r="J12" s="72"/>
      <c r="K12" s="74">
        <v>7.0000000000000007E-2</v>
      </c>
      <c r="L12" s="72"/>
      <c r="M12" s="72"/>
      <c r="N12" s="72"/>
      <c r="O12" s="72"/>
      <c r="P12" s="72"/>
      <c r="Q12" s="72"/>
      <c r="R12" s="72"/>
      <c r="S12" s="72"/>
      <c r="T12" s="74">
        <v>0.06</v>
      </c>
      <c r="U12" s="72"/>
      <c r="V12" s="72"/>
      <c r="W12" s="72"/>
      <c r="X12" s="72"/>
      <c r="Y12" s="72"/>
      <c r="Z12" s="72"/>
      <c r="AA12" s="72"/>
      <c r="AB12" s="72"/>
      <c r="AC12" s="74">
        <v>0.06</v>
      </c>
      <c r="AD12" s="72"/>
      <c r="AE12" s="72"/>
      <c r="AF12" s="72"/>
      <c r="AG12" s="72"/>
      <c r="AH12" s="72"/>
      <c r="AI12" s="72"/>
      <c r="AJ12" s="72"/>
      <c r="AK12" s="72"/>
      <c r="AL12" s="74">
        <v>0.06</v>
      </c>
      <c r="AM12" s="72"/>
      <c r="AN12" s="72"/>
      <c r="AO12" s="72"/>
      <c r="AP12" s="72"/>
      <c r="AQ12" s="72"/>
      <c r="AR12" s="72"/>
      <c r="AS12" s="72"/>
      <c r="AT12" s="72"/>
      <c r="AU12" s="74">
        <v>0.06</v>
      </c>
      <c r="AV12" s="72"/>
      <c r="AW12" s="72"/>
      <c r="AX12" s="72"/>
      <c r="AY12" s="72"/>
      <c r="AZ12" s="72"/>
      <c r="BA12" s="72"/>
      <c r="BB12" s="72"/>
      <c r="BC12" s="72"/>
      <c r="BN12" s="72" t="s">
        <v>76</v>
      </c>
    </row>
    <row r="13" spans="1:66" x14ac:dyDescent="0.3">
      <c r="A13" t="s">
        <v>97</v>
      </c>
      <c r="B13" s="74">
        <v>0.04</v>
      </c>
      <c r="C13" s="72"/>
      <c r="D13" s="72"/>
      <c r="E13" s="72"/>
      <c r="F13" s="72"/>
      <c r="G13" s="72"/>
      <c r="H13" s="72"/>
      <c r="I13" s="72"/>
      <c r="J13" s="72"/>
      <c r="K13" s="74">
        <v>0.03</v>
      </c>
      <c r="L13" s="72"/>
      <c r="M13" s="72"/>
      <c r="N13" s="72"/>
      <c r="O13" s="72"/>
      <c r="P13" s="72"/>
      <c r="Q13" s="72"/>
      <c r="R13" s="72"/>
      <c r="S13" s="72"/>
      <c r="T13" s="74">
        <v>0.02</v>
      </c>
      <c r="U13" s="72"/>
      <c r="V13" s="72"/>
      <c r="W13" s="72"/>
      <c r="X13" s="72"/>
      <c r="Y13" s="72"/>
      <c r="Z13" s="72"/>
      <c r="AA13" s="72"/>
      <c r="AB13" s="72"/>
      <c r="AC13" s="75">
        <v>2.5000000000000001E-2</v>
      </c>
      <c r="AD13" s="72"/>
      <c r="AE13" s="72"/>
      <c r="AF13" s="72"/>
      <c r="AG13" s="72"/>
      <c r="AH13" s="72"/>
      <c r="AI13" s="72"/>
      <c r="AJ13" s="72"/>
      <c r="AK13" s="72"/>
      <c r="AL13" s="75">
        <v>1.4999999999999999E-2</v>
      </c>
      <c r="AM13" s="72"/>
      <c r="AN13" s="72"/>
      <c r="AO13" s="72"/>
      <c r="AP13" s="72"/>
      <c r="AQ13" s="72"/>
      <c r="AR13" s="72"/>
      <c r="AS13" s="72"/>
      <c r="AT13" s="72"/>
      <c r="AU13" s="74">
        <v>0.03</v>
      </c>
      <c r="AV13" s="72"/>
      <c r="AW13" s="72"/>
      <c r="AX13" s="72"/>
      <c r="AY13" s="72"/>
      <c r="AZ13" s="72"/>
      <c r="BA13" s="72"/>
      <c r="BB13" s="72"/>
      <c r="BC13" s="72"/>
      <c r="BN13" s="70" t="s">
        <v>79</v>
      </c>
    </row>
    <row r="14" spans="1:66" x14ac:dyDescent="0.3">
      <c r="A14" t="s">
        <v>103</v>
      </c>
      <c r="B14" s="72">
        <f>B13*SOTP!B38</f>
        <v>290</v>
      </c>
      <c r="C14" s="72">
        <f>B14*(1+$BF$1)</f>
        <v>295.8</v>
      </c>
      <c r="D14" s="72">
        <f t="shared" ref="D14:J14" si="0">C14*(1+$BF$1)</f>
        <v>301.71600000000001</v>
      </c>
      <c r="E14" s="72">
        <f t="shared" si="0"/>
        <v>307.75031999999999</v>
      </c>
      <c r="F14" s="72">
        <f t="shared" si="0"/>
        <v>313.90532639999998</v>
      </c>
      <c r="G14" s="72">
        <f t="shared" si="0"/>
        <v>320.183432928</v>
      </c>
      <c r="H14" s="72">
        <f t="shared" si="0"/>
        <v>326.58710158655998</v>
      </c>
      <c r="I14" s="72">
        <f t="shared" si="0"/>
        <v>333.11884361829118</v>
      </c>
      <c r="J14" s="72">
        <f t="shared" si="0"/>
        <v>339.78122049065701</v>
      </c>
      <c r="K14" s="72">
        <f>K13*SOTP!B38</f>
        <v>217.5</v>
      </c>
      <c r="L14" s="72">
        <f>K14*(1+$BF$1)</f>
        <v>221.85</v>
      </c>
      <c r="M14" s="72">
        <f t="shared" ref="M14:S14" si="1">L14*(1+$BF$1)</f>
        <v>226.28700000000001</v>
      </c>
      <c r="N14" s="72">
        <f t="shared" si="1"/>
        <v>230.81274000000002</v>
      </c>
      <c r="O14" s="72">
        <f t="shared" si="1"/>
        <v>235.42899480000003</v>
      </c>
      <c r="P14" s="72">
        <f t="shared" si="1"/>
        <v>240.13757469600003</v>
      </c>
      <c r="Q14" s="72">
        <f t="shared" si="1"/>
        <v>244.94032618992003</v>
      </c>
      <c r="R14" s="72">
        <f t="shared" si="1"/>
        <v>249.83913271371844</v>
      </c>
      <c r="S14" s="72">
        <f t="shared" si="1"/>
        <v>254.83591536799281</v>
      </c>
      <c r="T14" s="72">
        <f>T13*SOTP!H38</f>
        <v>336</v>
      </c>
      <c r="U14" s="72">
        <f>T14*(1+$BF$1)</f>
        <v>342.72</v>
      </c>
      <c r="V14" s="72">
        <f t="shared" ref="V14:AB14" si="2">U14*(1+$BF$1)</f>
        <v>349.57440000000003</v>
      </c>
      <c r="W14" s="72">
        <f t="shared" si="2"/>
        <v>356.56588800000003</v>
      </c>
      <c r="X14" s="72">
        <f t="shared" si="2"/>
        <v>363.69720576000003</v>
      </c>
      <c r="Y14" s="72">
        <f t="shared" si="2"/>
        <v>370.97114987520001</v>
      </c>
      <c r="Z14" s="72">
        <f t="shared" si="2"/>
        <v>378.39057287270401</v>
      </c>
      <c r="AA14" s="72">
        <f t="shared" si="2"/>
        <v>385.95838433015808</v>
      </c>
      <c r="AB14" s="72">
        <f t="shared" si="2"/>
        <v>393.67755201676124</v>
      </c>
      <c r="AC14" s="72">
        <f>AC13*SOTP!H38</f>
        <v>420</v>
      </c>
      <c r="AD14" s="72">
        <f>AC14*(1+$BF$1)</f>
        <v>428.40000000000003</v>
      </c>
      <c r="AE14" s="72">
        <f t="shared" ref="AE14:AK14" si="3">AD14*(1+$BF$1)</f>
        <v>436.96800000000002</v>
      </c>
      <c r="AF14" s="72">
        <f t="shared" si="3"/>
        <v>445.70736000000005</v>
      </c>
      <c r="AG14" s="72">
        <f t="shared" si="3"/>
        <v>454.62150720000005</v>
      </c>
      <c r="AH14" s="72">
        <f t="shared" si="3"/>
        <v>463.71393734400004</v>
      </c>
      <c r="AI14" s="72">
        <f t="shared" si="3"/>
        <v>472.98821609088003</v>
      </c>
      <c r="AJ14" s="72">
        <f t="shared" si="3"/>
        <v>482.44798041269763</v>
      </c>
      <c r="AK14" s="72">
        <f t="shared" si="3"/>
        <v>492.09694002095159</v>
      </c>
      <c r="AL14" s="72">
        <f>AL13*SOTP!N38</f>
        <v>182.1</v>
      </c>
      <c r="AM14" s="72">
        <f>AL14*(1+$BF$1)</f>
        <v>185.74199999999999</v>
      </c>
      <c r="AN14" s="72">
        <f t="shared" ref="AN14:AT14" si="4">AM14*(1+$BF$1)</f>
        <v>189.45684</v>
      </c>
      <c r="AO14" s="72">
        <f t="shared" si="4"/>
        <v>193.24597679999999</v>
      </c>
      <c r="AP14" s="72">
        <f t="shared" si="4"/>
        <v>197.110896336</v>
      </c>
      <c r="AQ14" s="72">
        <f t="shared" si="4"/>
        <v>201.05311426271999</v>
      </c>
      <c r="AR14" s="72">
        <f t="shared" si="4"/>
        <v>205.07417654797439</v>
      </c>
      <c r="AS14" s="72">
        <f t="shared" si="4"/>
        <v>209.17566007893387</v>
      </c>
      <c r="AT14" s="72">
        <f t="shared" si="4"/>
        <v>213.35917328051255</v>
      </c>
      <c r="AU14" s="72">
        <f>AU13*SOTP!N38</f>
        <v>364.2</v>
      </c>
      <c r="AV14" s="72">
        <f>AU14*(1+$BF$1)</f>
        <v>371.48399999999998</v>
      </c>
      <c r="AW14" s="72">
        <f t="shared" ref="AW14:BC14" si="5">AV14*(1+$BF$1)</f>
        <v>378.91368</v>
      </c>
      <c r="AX14" s="72">
        <f t="shared" si="5"/>
        <v>386.49195359999999</v>
      </c>
      <c r="AY14" s="72">
        <f t="shared" si="5"/>
        <v>394.22179267199999</v>
      </c>
      <c r="AZ14" s="72">
        <f t="shared" si="5"/>
        <v>402.10622852543997</v>
      </c>
      <c r="BA14" s="72">
        <f t="shared" si="5"/>
        <v>410.14835309594878</v>
      </c>
      <c r="BB14" s="72">
        <f t="shared" si="5"/>
        <v>418.35132015786775</v>
      </c>
      <c r="BC14" s="72">
        <f t="shared" si="5"/>
        <v>426.7183465610251</v>
      </c>
      <c r="BN14" s="70" t="s">
        <v>77</v>
      </c>
    </row>
    <row r="15" spans="1:66" s="77" customFormat="1" x14ac:dyDescent="0.3">
      <c r="A15" s="77" t="s">
        <v>101</v>
      </c>
      <c r="B15" s="78">
        <v>5</v>
      </c>
      <c r="C15" s="78"/>
      <c r="D15" s="78"/>
      <c r="E15" s="78"/>
      <c r="F15" s="78"/>
      <c r="G15" s="78"/>
      <c r="H15" s="78"/>
      <c r="I15" s="78"/>
      <c r="J15" s="78"/>
      <c r="K15" s="78">
        <v>4</v>
      </c>
      <c r="L15" s="78"/>
      <c r="M15" s="78"/>
      <c r="N15" s="78"/>
      <c r="O15" s="78"/>
      <c r="P15" s="78"/>
      <c r="Q15" s="78"/>
      <c r="R15" s="78"/>
      <c r="S15" s="78"/>
      <c r="T15" s="78">
        <v>3</v>
      </c>
      <c r="U15" s="78"/>
      <c r="V15" s="78"/>
      <c r="W15" s="78"/>
      <c r="X15" s="78"/>
      <c r="Y15" s="78"/>
      <c r="Z15" s="78"/>
      <c r="AA15" s="78"/>
      <c r="AB15" s="78"/>
      <c r="AC15" s="78">
        <v>3</v>
      </c>
      <c r="AD15" s="78"/>
      <c r="AE15" s="78"/>
      <c r="AF15" s="78"/>
      <c r="AG15" s="78"/>
      <c r="AH15" s="78"/>
      <c r="AI15" s="78"/>
      <c r="AJ15" s="78"/>
      <c r="AK15" s="78"/>
      <c r="AL15" s="78">
        <v>4</v>
      </c>
      <c r="AM15" s="78"/>
      <c r="AN15" s="78"/>
      <c r="AO15" s="78"/>
      <c r="AP15" s="78"/>
      <c r="AQ15" s="78"/>
      <c r="AR15" s="78"/>
      <c r="AS15" s="78"/>
      <c r="AT15" s="78"/>
      <c r="AU15" s="78">
        <v>2</v>
      </c>
      <c r="AV15" s="78"/>
      <c r="AW15" s="78"/>
      <c r="AX15" s="78"/>
      <c r="AY15" s="78"/>
      <c r="AZ15" s="78"/>
      <c r="BA15" s="78"/>
      <c r="BB15" s="78"/>
      <c r="BC15" s="78"/>
      <c r="BN15" s="79"/>
    </row>
    <row r="16" spans="1:66" x14ac:dyDescent="0.3">
      <c r="A16" s="11" t="s">
        <v>100</v>
      </c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72"/>
      <c r="BN16" s="70" t="s">
        <v>78</v>
      </c>
    </row>
    <row r="17" spans="1:55" s="74" customFormat="1" x14ac:dyDescent="0.3">
      <c r="A17" s="74" t="s">
        <v>102</v>
      </c>
      <c r="C17" s="73">
        <f>IF(C2&lt;$B$3,0,IF(B17&gt;=1,1,MIN(1,MAX(0,-((((C2-$B$3)/$B$15/$BG$7)-1)^2)+1))))</f>
        <v>0</v>
      </c>
      <c r="D17" s="73">
        <f>IF(D2&lt;$B$3,0,IF(C17&gt;=1,1,MIN(1,MAX(0,-((((D2-$B$3)/$B$15/$BG$7)-1)^2)+1))))</f>
        <v>0</v>
      </c>
      <c r="E17" s="73">
        <f>IF(E2&lt;$B$3,0,IF(D17&gt;=1,1,MIN(1,MAX(0,-((((E2-$B$3)/$B$15/$BG$7)-1)^2)+1))))</f>
        <v>0</v>
      </c>
      <c r="F17" s="73">
        <f>IF(F2&lt;$B$3,0,IF(E17&gt;=1,1,MIN(1,MAX(0,-((((F2-$B$3)/$B$15/$BG$7)-1)^2)+1))))</f>
        <v>0.35999999999999988</v>
      </c>
      <c r="G17" s="73">
        <f>IF(G2&lt;$B$3,0,IF(F17&gt;=1,1,MIN(1,MAX(0,-((((G2-$B$3)/$B$15/$BG$7)-1)^2)+1))))</f>
        <v>0.64</v>
      </c>
      <c r="H17" s="73">
        <f>IF(H2&lt;$B$3,0,IF(G17&gt;=1,1,MIN(1,MAX(0,-((((H2-$B$3)/$B$15/$BG$7)-1)^2)+1))))</f>
        <v>0.84</v>
      </c>
      <c r="I17" s="73">
        <f>IF(I2&lt;$B$3,0,IF(H17&gt;=1,1,MIN(1,MAX(0,-((((I2-$B$3)/$B$15/$BG$7)-1)^2)+1))))</f>
        <v>0.96</v>
      </c>
      <c r="J17" s="73">
        <f>IF(J2&lt;$B$3,0,IF(I17&gt;=1,1,MIN(1,MAX(0,-((((J2-$B$3)/$B$15/$BG$7)-1)^2)+1))))</f>
        <v>1</v>
      </c>
      <c r="K17" s="73"/>
      <c r="L17" s="73">
        <f>IF(L2&lt;$K$3,0,IF(K17&gt;=1,1,MIN(1,MAX(0,-((((L2-$K$3)/$K$15/$BG$7)-1)^2)+1))))</f>
        <v>0</v>
      </c>
      <c r="M17" s="73">
        <f>IF(M2&lt;$K$3,0,IF(L17&gt;=1,1,MIN(1,MAX(0,-((((M2-$K$3)/$K$15/$BG$7)-1)^2)+1))))</f>
        <v>0</v>
      </c>
      <c r="N17" s="73">
        <f>IF(N2&lt;$K$3,0,IF(M17&gt;=1,1,MIN(1,MAX(0,-((((N2-$K$3)/$K$15/$BG$7)-1)^2)+1))))</f>
        <v>0</v>
      </c>
      <c r="O17" s="73">
        <f>IF(O2&lt;$K$3,0,IF(N17&gt;=1,1,MIN(1,MAX(0,-((((O2-$K$3)/$K$15/$BG$7)-1)^2)+1))))</f>
        <v>0</v>
      </c>
      <c r="P17" s="73">
        <f>IF(P2&lt;$K$3,0,IF(O17&gt;=1,1,MIN(1,MAX(0,-((((P2-$K$3)/$K$15/$BG$7)-1)^2)+1))))</f>
        <v>0.4375</v>
      </c>
      <c r="Q17" s="73">
        <f>IF(Q2&lt;$K$3,0,IF(P17&gt;=1,1,MIN(1,MAX(0,-((((Q2-$K$3)/$K$15/$BG$7)-1)^2)+1))))</f>
        <v>0.75</v>
      </c>
      <c r="R17" s="73">
        <f>IF(R2&lt;$K$3,0,IF(Q17&gt;=1,1,MIN(1,MAX(0,-((((R2-$K$3)/$K$15/$BG$7)-1)^2)+1))))</f>
        <v>0.9375</v>
      </c>
      <c r="S17" s="73">
        <f>IF(S2&lt;$K$3,0,IF(R17&gt;=1,1,MIN(1,MAX(0,-((((S2-$K$3)/$K$15/$BG$7)-1)^2)+1))))</f>
        <v>1</v>
      </c>
      <c r="T17" s="73"/>
      <c r="U17" s="73">
        <f>IF(U2&lt;$T$3,0,IF(T17&gt;=1,1,MIN(1,MAX(0,-((((U2-$T$3)/$T$15/$BG$7)-1)^2)+1))))</f>
        <v>0</v>
      </c>
      <c r="V17" s="73">
        <f>IF(V2&lt;$T$3,0,IF(U17&gt;=1,1,MIN(1,MAX(0,-((((V2-$T$3)/$T$15/$BG$7)-1)^2)+1))))</f>
        <v>0</v>
      </c>
      <c r="W17" s="73">
        <f>IF(W2&lt;$T$3,0,IF(V17&gt;=1,1,MIN(1,MAX(0,-((((W2-$T$3)/$T$15/$BG$7)-1)^2)+1))))</f>
        <v>0</v>
      </c>
      <c r="X17" s="73">
        <f>IF(X2&lt;$T$3,0,IF(W17&gt;=1,1,MIN(1,MAX(0,-((((X2-$T$3)/$T$15/$BG$7)-1)^2)+1))))</f>
        <v>0.55555555555555547</v>
      </c>
      <c r="Y17" s="73">
        <f>IF(Y2&lt;$T$3,0,IF(X17&gt;=1,1,MIN(1,MAX(0,-((((Y2-$T$3)/$T$15/$BG$7)-1)^2)+1))))</f>
        <v>0.88888888888888884</v>
      </c>
      <c r="Z17" s="73">
        <f>IF(Z2&lt;$T$3,0,IF(Y17&gt;=1,1,MIN(1,MAX(0,-((((Z2-$T$3)/$T$15/$BG$7)-1)^2)+1))))</f>
        <v>1</v>
      </c>
      <c r="AA17" s="73">
        <f>IF(AA2&lt;$T$3,0,IF(Z17&gt;=1,1,MIN(1,MAX(0,-((((AA2-$T$3)/$T$15/$BG$7)-1)^2)+1))))</f>
        <v>1</v>
      </c>
      <c r="AB17" s="73">
        <f>IF(AB2&lt;$T$3,0,IF(AA17&gt;=1,1,MIN(1,MAX(0,-((((AB2-$T$3)/$T$15/$BG$7)-1)^2)+1))))</f>
        <v>1</v>
      </c>
      <c r="AC17" s="73"/>
      <c r="AD17" s="73">
        <f>IF(AD2&lt;$AC$3,0,IF(AC17&gt;=1,1,MIN(1,MAX(0,-((((AD2-$AC$3)/$AC$15/$BG$7)-1)^2)+1))))</f>
        <v>0</v>
      </c>
      <c r="AE17" s="73">
        <f>IF(AE2&lt;$AC$3,0,IF(AD17&gt;=1,1,MIN(1,MAX(0,-((((AE2-$AC$3)/$AC$15/$BG$7)-1)^2)+1))))</f>
        <v>0</v>
      </c>
      <c r="AF17" s="73">
        <f>IF(AF2&lt;$AC$3,0,IF(AE17&gt;=1,1,MIN(1,MAX(0,-((((AF2-$AC$3)/$AC$15/$BG$7)-1)^2)+1))))</f>
        <v>0</v>
      </c>
      <c r="AG17" s="73">
        <f>IF(AG2&lt;$AC$3,0,IF(AF17&gt;=1,1,MIN(1,MAX(0,-((((AG2-$AC$3)/$AC$15/$BG$7)-1)^2)+1))))</f>
        <v>0.55555555555555547</v>
      </c>
      <c r="AH17" s="73">
        <f>IF(AH2&lt;$AC$3,0,IF(AG17&gt;=1,1,MIN(1,MAX(0,-((((AH2-$AC$3)/$AC$15/$BG$7)-1)^2)+1))))</f>
        <v>0.88888888888888884</v>
      </c>
      <c r="AI17" s="73">
        <f>IF(AI2&lt;$AC$3,0,IF(AH17&gt;=1,1,MIN(1,MAX(0,-((((AI2-$AC$3)/$AC$15/$BG$7)-1)^2)+1))))</f>
        <v>1</v>
      </c>
      <c r="AJ17" s="73">
        <f>IF(AJ2&lt;$AC$3,0,IF(AI17&gt;=1,1,MIN(1,MAX(0,-((((AJ2-$AC$3)/$AC$15/$BG$7)-1)^2)+1))))</f>
        <v>1</v>
      </c>
      <c r="AK17" s="73">
        <f>IF(AK2&lt;$AC$3,0,IF(AJ17&gt;=1,1,MIN(1,MAX(0,-((((AK2-$AC$3)/$AC$15/$BG$7)-1)^2)+1))))</f>
        <v>1</v>
      </c>
      <c r="AL17" s="73"/>
      <c r="AM17" s="73">
        <f>IF(AM2&lt;$AL$3,0,IF(AL17&gt;=1,1,MIN(1,MAX(0,-((((AM2-$AL$3)/$AL$15/$BG$7)-1)^2)+1))))</f>
        <v>0</v>
      </c>
      <c r="AN17" s="73">
        <f>IF(AN2&lt;$AL$3,0,IF(AM17&gt;=1,1,MIN(1,MAX(0,-((((AN2-$AL$3)/$AL$15/$BG$7)-1)^2)+1))))</f>
        <v>0</v>
      </c>
      <c r="AO17" s="73">
        <f>IF(AO2&lt;$AL$3,0,IF(AN17&gt;=1,1,MIN(1,MAX(0,-((((AO2-$AL$3)/$AL$15/$BG$7)-1)^2)+1))))</f>
        <v>0</v>
      </c>
      <c r="AP17" s="73">
        <f>IF(AP2&lt;$AL$3,0,IF(AO17&gt;=1,1,MIN(1,MAX(0,-((((AP2-$AL$3)/$AL$15/$BG$7)-1)^2)+1))))</f>
        <v>0.4375</v>
      </c>
      <c r="AQ17" s="73">
        <f>IF(AQ2&lt;$AL$3,0,IF(AP17&gt;=1,1,MIN(1,MAX(0,-((((AQ2-$AL$3)/$AL$15/$BG$7)-1)^2)+1))))</f>
        <v>0.75</v>
      </c>
      <c r="AR17" s="73">
        <f>IF(AR2&lt;$AL$3,0,IF(AQ17&gt;=1,1,MIN(1,MAX(0,-((((AR2-$AL$3)/$AL$15/$BG$7)-1)^2)+1))))</f>
        <v>0.9375</v>
      </c>
      <c r="AS17" s="73">
        <f>IF(AS2&lt;$AL$3,0,IF(AR17&gt;=1,1,MIN(1,MAX(0,-((((AS2-$AL$3)/$AL$15/$BG$7)-1)^2)+1))))</f>
        <v>1</v>
      </c>
      <c r="AT17" s="73">
        <f>IF(AT2&lt;$AL$3,0,IF(AS17&gt;=1,1,MIN(1,MAX(0,-((((AT2-$AL$3)/$AL$15/$BG$7)-1)^2)+1))))</f>
        <v>1</v>
      </c>
      <c r="AU17" s="73"/>
      <c r="AV17" s="73">
        <f>IF(AV2&lt;$AU$3,0,IF(AU17&gt;=1,1,MIN(1,MAX(0,-((((AV2-$AU$3)/$AU$15/$BG$7)-1)^2)+1))))</f>
        <v>0</v>
      </c>
      <c r="AW17" s="73">
        <f>IF(AW2&lt;$AU$3,0,IF(AV17&gt;=1,1,MIN(1,MAX(0,-((((AW2-$AU$3)/$AU$15/$BG$7)-1)^2)+1))))</f>
        <v>0</v>
      </c>
      <c r="AX17" s="73">
        <f>IF(AX2&lt;$AU$3,0,IF(AW17&gt;=1,1,MIN(1,MAX(0,-((((AX2-$AU$3)/$AU$15/$BG$7)-1)^2)+1))))</f>
        <v>0</v>
      </c>
      <c r="AY17" s="73">
        <f>IF(AY2&lt;$AU$3,0,IF(AX17&gt;=1,1,MIN(1,MAX(0,-((((AY2-$AU$3)/$AU$15/$BG$7)-1)^2)+1))))</f>
        <v>0</v>
      </c>
      <c r="AZ17" s="73">
        <f>IF(AZ2&lt;$AU$3,0,IF(AY17&gt;=1,1,MIN(1,MAX(0,-((((AZ2-$AU$3)/$AU$15/$BG$7)-1)^2)+1))))</f>
        <v>0.75</v>
      </c>
      <c r="BA17" s="73">
        <f>IF(BA2&lt;$AU$3,0,IF(AZ17&gt;=1,1,MIN(1,MAX(0,-((((BA2-$AU$3)/$AU$15/$BG$7)-1)^2)+1))))</f>
        <v>1</v>
      </c>
      <c r="BB17" s="73">
        <f>IF(BB2&lt;$AU$3,0,IF(BA17&gt;=1,1,MIN(1,MAX(0,-((((BB2-$AU$3)/$AU$15/$BG$7)-1)^2)+1))))</f>
        <v>1</v>
      </c>
      <c r="BC17" s="73">
        <f>IF(BC2&lt;$AU$3,0,IF(BB17&gt;=1,1,MIN(1,MAX(0,-((((BC2-$AU$3)/$AU$15/$BG$7)-1)^2)+1))))</f>
        <v>1</v>
      </c>
    </row>
    <row r="18" spans="1:55" x14ac:dyDescent="0.3">
      <c r="A18" t="s">
        <v>105</v>
      </c>
      <c r="B18" s="72"/>
      <c r="C18" s="72">
        <f>C14*(C17-B17)</f>
        <v>0</v>
      </c>
      <c r="D18" s="72">
        <f>D14*(D17-C17)</f>
        <v>0</v>
      </c>
      <c r="E18" s="72">
        <f>E14*(E17-D17)</f>
        <v>0</v>
      </c>
      <c r="F18" s="72">
        <f>F14*(F17-E17)</f>
        <v>113.00591750399995</v>
      </c>
      <c r="G18" s="72">
        <f>G14*(G17-F17)</f>
        <v>89.651361219840041</v>
      </c>
      <c r="H18" s="72">
        <f>H14*(H17-G17)</f>
        <v>65.317420317311985</v>
      </c>
      <c r="I18" s="72">
        <f>I14*(I17-H17)</f>
        <v>39.974261234194941</v>
      </c>
      <c r="J18" s="72">
        <f>J14*(J17-I17)</f>
        <v>13.591248819626292</v>
      </c>
      <c r="K18" s="72"/>
      <c r="L18" s="72">
        <f>L14*(L17-K17)</f>
        <v>0</v>
      </c>
      <c r="M18" s="72">
        <f>M14*(M17-L17)</f>
        <v>0</v>
      </c>
      <c r="N18" s="72">
        <f>N14*(N17-M17)</f>
        <v>0</v>
      </c>
      <c r="O18" s="72">
        <f>O14*(O17-N17)</f>
        <v>0</v>
      </c>
      <c r="P18" s="72">
        <f>P14*(P17-O17)</f>
        <v>105.06018892950001</v>
      </c>
      <c r="Q18" s="72">
        <f>Q14*(Q17-P17)</f>
        <v>76.543851934350016</v>
      </c>
      <c r="R18" s="72">
        <f>R14*(R17-Q17)</f>
        <v>46.84483738382221</v>
      </c>
      <c r="S18" s="72">
        <f>S14*(S17-R17)</f>
        <v>15.927244710499551</v>
      </c>
      <c r="T18" s="72"/>
      <c r="U18" s="72">
        <f>U14*(U17-T17)</f>
        <v>0</v>
      </c>
      <c r="V18" s="72">
        <f>V14*(V17-U17)</f>
        <v>0</v>
      </c>
      <c r="W18" s="72">
        <f>W14*(W17-V17)</f>
        <v>0</v>
      </c>
      <c r="X18" s="72">
        <f>X14*(X17-W17)</f>
        <v>202.05400319999998</v>
      </c>
      <c r="Y18" s="72">
        <f>Y14*(Y17-X17)</f>
        <v>123.65704995840002</v>
      </c>
      <c r="Z18" s="72">
        <f>Z14*(Z17-Y17)</f>
        <v>42.04339698585602</v>
      </c>
      <c r="AA18" s="72">
        <f>AA14*(AA17-Z17)</f>
        <v>0</v>
      </c>
      <c r="AB18" s="72">
        <f>AB14*(AB17-AA17)</f>
        <v>0</v>
      </c>
      <c r="AC18" s="72"/>
      <c r="AD18" s="72">
        <f>AD14*(AD17-AC17)</f>
        <v>0</v>
      </c>
      <c r="AE18" s="72">
        <f>AE14*(AE17-AD17)</f>
        <v>0</v>
      </c>
      <c r="AF18" s="72">
        <f>AF14*(AF17-AE17)</f>
        <v>0</v>
      </c>
      <c r="AG18" s="72">
        <f>AG14*(AG17-AF17)</f>
        <v>252.56750399999999</v>
      </c>
      <c r="AH18" s="72">
        <f>AH14*(AH17-AG17)</f>
        <v>154.57131244800004</v>
      </c>
      <c r="AI18" s="72">
        <f>AI14*(AI17-AH17)</f>
        <v>52.554246232320025</v>
      </c>
      <c r="AJ18" s="72">
        <f>AJ14*(AJ17-AI17)</f>
        <v>0</v>
      </c>
      <c r="AK18" s="72">
        <f>AK14*(AK17-AJ17)</f>
        <v>0</v>
      </c>
      <c r="AL18" s="72"/>
      <c r="AM18" s="72">
        <f>AM14*(AM17-AL17)</f>
        <v>0</v>
      </c>
      <c r="AN18" s="72">
        <f>AN14*(AN17-AM17)</f>
        <v>0</v>
      </c>
      <c r="AO18" s="72">
        <f>AO14*(AO17-AN17)</f>
        <v>0</v>
      </c>
      <c r="AP18" s="72">
        <f>AP14*(AP17-AO17)</f>
        <v>86.236017146999998</v>
      </c>
      <c r="AQ18" s="72">
        <f>AQ14*(AQ17-AP17)</f>
        <v>62.829098207099996</v>
      </c>
      <c r="AR18" s="72">
        <f>AR14*(AR17-AQ17)</f>
        <v>38.451408102745198</v>
      </c>
      <c r="AS18" s="72">
        <f>AS14*(AS17-AR17)</f>
        <v>13.073478754933367</v>
      </c>
      <c r="AT18" s="72">
        <f>AT14*(AT17-AS17)</f>
        <v>0</v>
      </c>
      <c r="AU18" s="72"/>
      <c r="AV18" s="72">
        <f>AV14*(AV17-AU17)</f>
        <v>0</v>
      </c>
      <c r="AW18" s="72">
        <f>AW14*(AW17-AV17)</f>
        <v>0</v>
      </c>
      <c r="AX18" s="72">
        <f>AX14*(AX17-AW17)</f>
        <v>0</v>
      </c>
      <c r="AY18" s="72">
        <f>AY14*(AY17-AX17)</f>
        <v>0</v>
      </c>
      <c r="AZ18" s="72">
        <f>AZ14*(AZ17-AY17)</f>
        <v>301.57967139407998</v>
      </c>
      <c r="BA18" s="72">
        <f>BA14*(BA17-AZ17)</f>
        <v>102.53708827398719</v>
      </c>
      <c r="BB18" s="72">
        <f>BB14*(BB17-BA17)</f>
        <v>0</v>
      </c>
      <c r="BC18" s="72">
        <f>BC14*(BC17-BB17)</f>
        <v>0</v>
      </c>
    </row>
    <row r="19" spans="1:55" x14ac:dyDescent="0.3">
      <c r="A19" t="s">
        <v>108</v>
      </c>
      <c r="B19" s="72"/>
      <c r="C19" s="72">
        <f>B18*$BG$8</f>
        <v>0</v>
      </c>
      <c r="D19" s="72">
        <f>(C18*$BG$8)+C19</f>
        <v>0</v>
      </c>
      <c r="E19" s="72">
        <f t="shared" ref="E19:J19" si="6">(D18*$BG$8)+D19</f>
        <v>0</v>
      </c>
      <c r="F19" s="72">
        <f t="shared" si="6"/>
        <v>0</v>
      </c>
      <c r="G19" s="72">
        <f t="shared" si="6"/>
        <v>96.055029878399964</v>
      </c>
      <c r="H19" s="72">
        <f t="shared" si="6"/>
        <v>172.25868691526398</v>
      </c>
      <c r="I19" s="72">
        <f t="shared" si="6"/>
        <v>227.77849418497917</v>
      </c>
      <c r="J19" s="72">
        <f t="shared" si="6"/>
        <v>261.75661623404488</v>
      </c>
      <c r="K19" s="72"/>
      <c r="L19" s="72">
        <f>K18*$BG$8</f>
        <v>0</v>
      </c>
      <c r="M19" s="72">
        <f>(L18*$BG$8)+L19</f>
        <v>0</v>
      </c>
      <c r="N19" s="72">
        <f t="shared" ref="N19:S19" si="7">(M18*$BG$8)+M19</f>
        <v>0</v>
      </c>
      <c r="O19" s="72">
        <f t="shared" si="7"/>
        <v>0</v>
      </c>
      <c r="P19" s="72">
        <f t="shared" si="7"/>
        <v>0</v>
      </c>
      <c r="Q19" s="72">
        <f t="shared" si="7"/>
        <v>89.301160590075014</v>
      </c>
      <c r="R19" s="72">
        <f t="shared" si="7"/>
        <v>154.36343473427252</v>
      </c>
      <c r="S19" s="72">
        <f t="shared" si="7"/>
        <v>194.1815465105214</v>
      </c>
      <c r="T19" s="72"/>
      <c r="U19" s="72">
        <f>T18*$BG$8</f>
        <v>0</v>
      </c>
      <c r="V19" s="72">
        <f>(U18*$BG$8)+U19</f>
        <v>0</v>
      </c>
      <c r="W19" s="72">
        <f t="shared" ref="W19:AB19" si="8">(V18*$BG$8)+V19</f>
        <v>0</v>
      </c>
      <c r="X19" s="72">
        <f t="shared" si="8"/>
        <v>0</v>
      </c>
      <c r="Y19" s="72">
        <f t="shared" si="8"/>
        <v>171.74590271999998</v>
      </c>
      <c r="Z19" s="72">
        <f t="shared" si="8"/>
        <v>276.85439518464</v>
      </c>
      <c r="AA19" s="72">
        <f t="shared" si="8"/>
        <v>312.5912826226176</v>
      </c>
      <c r="AB19" s="72">
        <f t="shared" si="8"/>
        <v>312.5912826226176</v>
      </c>
      <c r="AC19" s="72"/>
      <c r="AD19" s="72">
        <f>AC18*$BG$8</f>
        <v>0</v>
      </c>
      <c r="AE19" s="72">
        <f>(AD18*$BG$8)+AD19</f>
        <v>0</v>
      </c>
      <c r="AF19" s="72">
        <f t="shared" ref="AF19:AK19" si="9">(AE18*$BG$8)+AE19</f>
        <v>0</v>
      </c>
      <c r="AG19" s="72">
        <f t="shared" si="9"/>
        <v>0</v>
      </c>
      <c r="AH19" s="72">
        <f t="shared" si="9"/>
        <v>214.68237839999998</v>
      </c>
      <c r="AI19" s="72">
        <f t="shared" si="9"/>
        <v>346.0679939808</v>
      </c>
      <c r="AJ19" s="72">
        <f t="shared" si="9"/>
        <v>390.73910327827201</v>
      </c>
      <c r="AK19" s="72">
        <f t="shared" si="9"/>
        <v>390.73910327827201</v>
      </c>
      <c r="AL19" s="72"/>
      <c r="AM19" s="72">
        <f>AL18*$BG$8</f>
        <v>0</v>
      </c>
      <c r="AN19" s="72">
        <f>(AM18*$BG$8)+AM19</f>
        <v>0</v>
      </c>
      <c r="AO19" s="72">
        <f t="shared" ref="AO19:AT19" si="10">(AN18*$BG$8)+AN19</f>
        <v>0</v>
      </c>
      <c r="AP19" s="72">
        <f t="shared" si="10"/>
        <v>0</v>
      </c>
      <c r="AQ19" s="72">
        <f t="shared" si="10"/>
        <v>73.300614574950004</v>
      </c>
      <c r="AR19" s="72">
        <f t="shared" si="10"/>
        <v>126.70534805098501</v>
      </c>
      <c r="AS19" s="72">
        <f t="shared" si="10"/>
        <v>159.38904493831842</v>
      </c>
      <c r="AT19" s="72">
        <f t="shared" si="10"/>
        <v>170.50150188001177</v>
      </c>
      <c r="AU19" s="72"/>
      <c r="AV19" s="72">
        <f>AU18*$BG$8</f>
        <v>0</v>
      </c>
      <c r="AW19" s="72">
        <f>(AV18*$BG$8)+AV19</f>
        <v>0</v>
      </c>
      <c r="AX19" s="72">
        <f t="shared" ref="AX19:BC19" si="11">(AW18*$BG$8)+AW19</f>
        <v>0</v>
      </c>
      <c r="AY19" s="72">
        <f t="shared" si="11"/>
        <v>0</v>
      </c>
      <c r="AZ19" s="72">
        <f t="shared" si="11"/>
        <v>0</v>
      </c>
      <c r="BA19" s="72">
        <f t="shared" si="11"/>
        <v>256.34272068496796</v>
      </c>
      <c r="BB19" s="72">
        <f t="shared" si="11"/>
        <v>343.49924571785709</v>
      </c>
      <c r="BC19" s="72">
        <f t="shared" si="11"/>
        <v>343.49924571785709</v>
      </c>
    </row>
    <row r="20" spans="1:55" s="83" customFormat="1" x14ac:dyDescent="0.3">
      <c r="A20" s="83" t="s">
        <v>109</v>
      </c>
      <c r="C20" s="83">
        <f>SUM(C17:C19)</f>
        <v>0</v>
      </c>
      <c r="D20" s="83">
        <f t="shared" ref="D20:BC20" si="12">SUM(D17:D19)</f>
        <v>0</v>
      </c>
      <c r="E20" s="83">
        <f t="shared" si="12"/>
        <v>0</v>
      </c>
      <c r="F20" s="83">
        <f t="shared" si="12"/>
        <v>113.36591750399995</v>
      </c>
      <c r="G20" s="83">
        <f t="shared" si="12"/>
        <v>186.34639109824002</v>
      </c>
      <c r="H20" s="83">
        <f t="shared" si="12"/>
        <v>238.41610723257597</v>
      </c>
      <c r="I20" s="83">
        <f t="shared" si="12"/>
        <v>268.71275541917413</v>
      </c>
      <c r="J20" s="83">
        <f t="shared" si="12"/>
        <v>276.34786505367117</v>
      </c>
      <c r="L20" s="83">
        <f t="shared" si="12"/>
        <v>0</v>
      </c>
      <c r="M20" s="83">
        <f t="shared" si="12"/>
        <v>0</v>
      </c>
      <c r="N20" s="83">
        <f t="shared" si="12"/>
        <v>0</v>
      </c>
      <c r="O20" s="83">
        <f t="shared" si="12"/>
        <v>0</v>
      </c>
      <c r="P20" s="83">
        <f t="shared" si="12"/>
        <v>105.49768892950001</v>
      </c>
      <c r="Q20" s="83">
        <f t="shared" si="12"/>
        <v>166.59501252442504</v>
      </c>
      <c r="R20" s="83">
        <f t="shared" si="12"/>
        <v>202.14577211809473</v>
      </c>
      <c r="S20" s="83">
        <f t="shared" si="12"/>
        <v>211.10879122102097</v>
      </c>
      <c r="U20" s="83">
        <f t="shared" si="12"/>
        <v>0</v>
      </c>
      <c r="V20" s="83">
        <f t="shared" si="12"/>
        <v>0</v>
      </c>
      <c r="W20" s="83">
        <f t="shared" si="12"/>
        <v>0</v>
      </c>
      <c r="X20" s="83">
        <f t="shared" si="12"/>
        <v>202.60955875555553</v>
      </c>
      <c r="Y20" s="83">
        <f t="shared" si="12"/>
        <v>296.29184156728888</v>
      </c>
      <c r="Z20" s="83">
        <f t="shared" si="12"/>
        <v>319.89779217049602</v>
      </c>
      <c r="AA20" s="83">
        <f t="shared" si="12"/>
        <v>313.5912826226176</v>
      </c>
      <c r="AB20" s="83">
        <f t="shared" si="12"/>
        <v>313.5912826226176</v>
      </c>
      <c r="AD20" s="83">
        <f t="shared" si="12"/>
        <v>0</v>
      </c>
      <c r="AE20" s="83">
        <f t="shared" si="12"/>
        <v>0</v>
      </c>
      <c r="AF20" s="83">
        <f t="shared" si="12"/>
        <v>0</v>
      </c>
      <c r="AG20" s="83">
        <f t="shared" si="12"/>
        <v>253.12305955555553</v>
      </c>
      <c r="AH20" s="83">
        <f t="shared" si="12"/>
        <v>370.14257973688893</v>
      </c>
      <c r="AI20" s="83">
        <f t="shared" si="12"/>
        <v>399.62224021311999</v>
      </c>
      <c r="AJ20" s="83">
        <f t="shared" si="12"/>
        <v>391.73910327827201</v>
      </c>
      <c r="AK20" s="83">
        <f t="shared" si="12"/>
        <v>391.73910327827201</v>
      </c>
      <c r="AL20" s="83">
        <f t="shared" si="12"/>
        <v>0</v>
      </c>
      <c r="AM20" s="83">
        <f t="shared" si="12"/>
        <v>0</v>
      </c>
      <c r="AN20" s="83">
        <f t="shared" si="12"/>
        <v>0</v>
      </c>
      <c r="AO20" s="83">
        <f t="shared" si="12"/>
        <v>0</v>
      </c>
      <c r="AP20" s="83">
        <f t="shared" si="12"/>
        <v>86.673517146999998</v>
      </c>
      <c r="AQ20" s="83">
        <f t="shared" si="12"/>
        <v>136.87971278205001</v>
      </c>
      <c r="AR20" s="83">
        <f t="shared" si="12"/>
        <v>166.09425615373021</v>
      </c>
      <c r="AS20" s="83">
        <f t="shared" si="12"/>
        <v>173.4625236932518</v>
      </c>
      <c r="AT20" s="83">
        <f t="shared" si="12"/>
        <v>171.50150188001177</v>
      </c>
      <c r="AU20" s="83">
        <f t="shared" si="12"/>
        <v>0</v>
      </c>
      <c r="AV20" s="83">
        <f t="shared" si="12"/>
        <v>0</v>
      </c>
      <c r="AW20" s="83">
        <f t="shared" si="12"/>
        <v>0</v>
      </c>
      <c r="AX20" s="83">
        <f t="shared" si="12"/>
        <v>0</v>
      </c>
      <c r="AY20" s="83">
        <f t="shared" si="12"/>
        <v>0</v>
      </c>
      <c r="AZ20" s="83">
        <f t="shared" si="12"/>
        <v>302.32967139407998</v>
      </c>
      <c r="BA20" s="83">
        <f t="shared" si="12"/>
        <v>359.87980895895515</v>
      </c>
      <c r="BB20" s="83">
        <f t="shared" si="12"/>
        <v>344.49924571785709</v>
      </c>
      <c r="BC20" s="83">
        <f t="shared" si="12"/>
        <v>344.49924571785709</v>
      </c>
    </row>
    <row r="22" spans="1:55" s="72" customFormat="1" x14ac:dyDescent="0.3">
      <c r="A22" s="72" t="s">
        <v>110</v>
      </c>
      <c r="C22" s="72">
        <f>-(1-$B$8)*$J$19*$B$9</f>
        <v>-39.787005667574824</v>
      </c>
      <c r="D22" s="84">
        <f t="shared" ref="D22:J22" si="13">-(1-$B$8)*$J$19*$B$9</f>
        <v>-39.787005667574824</v>
      </c>
      <c r="E22" s="72">
        <f t="shared" si="13"/>
        <v>-39.787005667574824</v>
      </c>
      <c r="F22" s="72">
        <f t="shared" si="13"/>
        <v>-39.787005667574824</v>
      </c>
      <c r="G22" s="72">
        <f t="shared" si="13"/>
        <v>-39.787005667574824</v>
      </c>
      <c r="H22" s="72">
        <f t="shared" si="13"/>
        <v>-39.787005667574824</v>
      </c>
      <c r="I22" s="72">
        <f t="shared" si="13"/>
        <v>-39.787005667574824</v>
      </c>
      <c r="J22" s="72">
        <f t="shared" si="13"/>
        <v>-39.787005667574824</v>
      </c>
      <c r="L22" s="72">
        <f>-(1-$K$8)*$S$19*$K$9</f>
        <v>-35.923586104446457</v>
      </c>
      <c r="M22" s="72">
        <f t="shared" ref="M22:S22" si="14">-(1-$K$8)*$S$19*$K$9</f>
        <v>-35.923586104446457</v>
      </c>
      <c r="N22" s="72">
        <f t="shared" si="14"/>
        <v>-35.923586104446457</v>
      </c>
      <c r="O22" s="72">
        <f t="shared" si="14"/>
        <v>-35.923586104446457</v>
      </c>
      <c r="P22" s="72">
        <f t="shared" si="14"/>
        <v>-35.923586104446457</v>
      </c>
      <c r="Q22" s="72">
        <f t="shared" si="14"/>
        <v>-35.923586104446457</v>
      </c>
      <c r="R22" s="72">
        <f t="shared" si="14"/>
        <v>-35.923586104446457</v>
      </c>
      <c r="S22" s="72">
        <f t="shared" si="14"/>
        <v>-35.923586104446457</v>
      </c>
      <c r="U22" s="72">
        <f>-(1-$T$8)*$AB$19*$T$9</f>
        <v>-75.02190782942823</v>
      </c>
      <c r="V22" s="72">
        <f t="shared" ref="V22:AB22" si="15">-(1-$T$8)*$AB$19*$T$9</f>
        <v>-75.02190782942823</v>
      </c>
      <c r="W22" s="72">
        <f t="shared" si="15"/>
        <v>-75.02190782942823</v>
      </c>
      <c r="X22" s="72">
        <f t="shared" si="15"/>
        <v>-75.02190782942823</v>
      </c>
      <c r="Y22" s="72">
        <f t="shared" si="15"/>
        <v>-75.02190782942823</v>
      </c>
      <c r="Z22" s="72">
        <f t="shared" si="15"/>
        <v>-75.02190782942823</v>
      </c>
      <c r="AA22" s="72">
        <f t="shared" si="15"/>
        <v>-75.02190782942823</v>
      </c>
      <c r="AB22" s="72">
        <f t="shared" si="15"/>
        <v>-75.02190782942823</v>
      </c>
      <c r="AD22" s="72">
        <f>-(1-$T$8)*$AB$19*$T$9</f>
        <v>-75.02190782942823</v>
      </c>
      <c r="AE22" s="72">
        <f t="shared" ref="AE22:AK22" si="16">-(1-$T$8)*$AB$19*$T$9</f>
        <v>-75.02190782942823</v>
      </c>
      <c r="AF22" s="72">
        <f t="shared" si="16"/>
        <v>-75.02190782942823</v>
      </c>
      <c r="AG22" s="72">
        <f t="shared" si="16"/>
        <v>-75.02190782942823</v>
      </c>
      <c r="AH22" s="72">
        <f t="shared" si="16"/>
        <v>-75.02190782942823</v>
      </c>
      <c r="AI22" s="72">
        <f t="shared" si="16"/>
        <v>-75.02190782942823</v>
      </c>
      <c r="AJ22" s="72">
        <f t="shared" si="16"/>
        <v>-75.02190782942823</v>
      </c>
      <c r="AK22" s="72">
        <f t="shared" si="16"/>
        <v>-75.02190782942823</v>
      </c>
    </row>
    <row r="29" spans="1:55" x14ac:dyDescent="0.3"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  <c r="AR29" s="72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72"/>
    </row>
    <row r="30" spans="1:55" x14ac:dyDescent="0.3"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72"/>
    </row>
    <row r="31" spans="1:55" x14ac:dyDescent="0.3"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72"/>
    </row>
    <row r="32" spans="1:55" x14ac:dyDescent="0.3"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72"/>
    </row>
    <row r="33" spans="2:55" x14ac:dyDescent="0.3"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72"/>
    </row>
    <row r="34" spans="2:55" x14ac:dyDescent="0.3"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72"/>
    </row>
    <row r="35" spans="2:55" x14ac:dyDescent="0.3"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</row>
    <row r="36" spans="2:55" x14ac:dyDescent="0.3"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72"/>
    </row>
    <row r="37" spans="2:55" x14ac:dyDescent="0.3"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72"/>
    </row>
    <row r="38" spans="2:55" x14ac:dyDescent="0.3"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</row>
    <row r="39" spans="2:55" x14ac:dyDescent="0.3"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</row>
    <row r="40" spans="2:55" x14ac:dyDescent="0.3"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  <c r="BB40" s="72"/>
      <c r="BC40" s="72"/>
    </row>
    <row r="41" spans="2:55" x14ac:dyDescent="0.3"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72"/>
    </row>
    <row r="42" spans="2:55" x14ac:dyDescent="0.3"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</row>
    <row r="43" spans="2:55" x14ac:dyDescent="0.3"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2"/>
      <c r="AY43" s="72"/>
      <c r="AZ43" s="72"/>
      <c r="BA43" s="72"/>
      <c r="BB43" s="72"/>
      <c r="BC43" s="72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</vt:lpstr>
      <vt:lpstr>SOTP</vt:lpstr>
      <vt:lpstr>rNPV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2025-11-05T14:52:03Z</dcterms:modified>
</cp:coreProperties>
</file>