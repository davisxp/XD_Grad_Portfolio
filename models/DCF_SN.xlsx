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1785" documentId="8_{4CAA811A-3924-48A6-9DA9-F0A76AB10370}" xr6:coauthVersionLast="47" xr6:coauthVersionMax="47" xr10:uidLastSave="{85C8ACB2-AF82-42FA-8EB3-09D4F844166C}"/>
  <bookViews>
    <workbookView xWindow="-108" yWindow="-108" windowWidth="23256" windowHeight="12456" activeTab="1" xr2:uid="{074DC5BB-03BC-4711-88CA-6F8F6CA366FE}"/>
  </bookViews>
  <sheets>
    <sheet name="DCF" sheetId="2" r:id="rId1"/>
    <sheet name="SOTP" sheetId="3" r:id="rId2"/>
    <sheet name="rNPV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" i="3" l="1"/>
  <c r="H29" i="3"/>
  <c r="N26" i="3"/>
  <c r="N27" i="3" s="1"/>
  <c r="N24" i="3"/>
  <c r="N23" i="3"/>
  <c r="S22" i="3"/>
  <c r="R22" i="3"/>
  <c r="P22" i="3"/>
  <c r="O22" i="3" s="1"/>
  <c r="H26" i="3"/>
  <c r="H27" i="3" s="1"/>
  <c r="H24" i="3"/>
  <c r="H23" i="3" s="1"/>
  <c r="L22" i="3"/>
  <c r="M22" i="3" s="1"/>
  <c r="J22" i="3"/>
  <c r="I22" i="3" s="1"/>
  <c r="I23" i="2"/>
  <c r="B29" i="3"/>
  <c r="B26" i="3"/>
  <c r="B27" i="3" s="1"/>
  <c r="B24" i="3"/>
  <c r="B23" i="3" s="1"/>
  <c r="F22" i="3"/>
  <c r="G22" i="3" s="1"/>
  <c r="D22" i="3"/>
  <c r="C22" i="3"/>
  <c r="B35" i="3"/>
  <c r="B31" i="3"/>
  <c r="B11" i="2"/>
  <c r="W8" i="3"/>
  <c r="W13" i="3" s="1"/>
  <c r="W7" i="3"/>
  <c r="W6" i="3"/>
  <c r="W5" i="3"/>
  <c r="W2" i="3"/>
  <c r="B4" i="2"/>
  <c r="B7" i="2"/>
  <c r="C4" i="2"/>
  <c r="D4" i="2"/>
  <c r="E4" i="2"/>
  <c r="F4" i="2"/>
  <c r="C7" i="2"/>
  <c r="D7" i="2"/>
  <c r="E7" i="2"/>
  <c r="F7" i="2"/>
  <c r="N9" i="3"/>
  <c r="Q8" i="3" s="1"/>
  <c r="H9" i="3"/>
  <c r="I8" i="3" s="1"/>
  <c r="B9" i="3"/>
  <c r="D8" i="3" s="1"/>
  <c r="N3" i="3"/>
  <c r="N5" i="3" s="1"/>
  <c r="H3" i="3"/>
  <c r="H5" i="3" s="1"/>
  <c r="B3" i="3"/>
  <c r="T4" i="3"/>
  <c r="T3" i="3"/>
  <c r="I4" i="2"/>
  <c r="I8" i="2"/>
  <c r="B32" i="3" l="1"/>
  <c r="W4" i="3"/>
  <c r="H13" i="3"/>
  <c r="C8" i="3"/>
  <c r="G8" i="3"/>
  <c r="P8" i="3"/>
  <c r="I11" i="3"/>
  <c r="J11" i="3"/>
  <c r="K11" i="3"/>
  <c r="M11" i="3"/>
  <c r="H11" i="3"/>
  <c r="L11" i="3"/>
  <c r="L8" i="3"/>
  <c r="B13" i="3"/>
  <c r="K8" i="3"/>
  <c r="F8" i="3"/>
  <c r="O8" i="3"/>
  <c r="M8" i="3"/>
  <c r="B5" i="3"/>
  <c r="E8" i="3"/>
  <c r="S8" i="3"/>
  <c r="N13" i="3"/>
  <c r="R8" i="3"/>
  <c r="J8" i="3"/>
  <c r="R12" i="3" l="1"/>
  <c r="S12" i="3"/>
  <c r="P12" i="3"/>
  <c r="Q12" i="3"/>
  <c r="H6" i="3"/>
  <c r="N6" i="3"/>
  <c r="B6" i="3"/>
  <c r="B12" i="3"/>
  <c r="C12" i="3"/>
  <c r="F12" i="3"/>
  <c r="D12" i="3"/>
  <c r="E12" i="3"/>
  <c r="G12" i="3"/>
  <c r="O12" i="3"/>
  <c r="N12" i="3"/>
  <c r="L12" i="3"/>
  <c r="M12" i="3"/>
  <c r="H12" i="3"/>
  <c r="I12" i="3"/>
  <c r="K12" i="3"/>
  <c r="J12" i="3"/>
  <c r="E11" i="3"/>
  <c r="D11" i="3"/>
  <c r="F11" i="3"/>
  <c r="G11" i="3"/>
  <c r="B11" i="3"/>
  <c r="C11" i="3"/>
  <c r="O11" i="3"/>
  <c r="P11" i="3"/>
  <c r="Q11" i="3"/>
  <c r="R11" i="3"/>
  <c r="S11" i="3"/>
  <c r="N11" i="3"/>
  <c r="P3" i="3"/>
  <c r="P4" i="3" s="1"/>
  <c r="P6" i="3" s="1"/>
  <c r="Q3" i="3"/>
  <c r="Q4" i="3" s="1"/>
  <c r="Q6" i="3" s="1"/>
  <c r="R3" i="3"/>
  <c r="R4" i="3" s="1"/>
  <c r="R6" i="3" s="1"/>
  <c r="S3" i="3"/>
  <c r="S4" i="3" s="1"/>
  <c r="S6" i="3" s="1"/>
  <c r="O3" i="3"/>
  <c r="O4" i="3" s="1"/>
  <c r="O6" i="3" s="1"/>
  <c r="J3" i="3"/>
  <c r="J4" i="3" s="1"/>
  <c r="J6" i="3" s="1"/>
  <c r="K3" i="3"/>
  <c r="K4" i="3" s="1"/>
  <c r="K6" i="3" s="1"/>
  <c r="L3" i="3"/>
  <c r="L4" i="3" s="1"/>
  <c r="L6" i="3" s="1"/>
  <c r="M3" i="3"/>
  <c r="M4" i="3" s="1"/>
  <c r="M6" i="3" s="1"/>
  <c r="I3" i="3"/>
  <c r="I4" i="3" s="1"/>
  <c r="I6" i="3" s="1"/>
  <c r="D3" i="3"/>
  <c r="D4" i="3" s="1"/>
  <c r="D6" i="3" s="1"/>
  <c r="E3" i="3"/>
  <c r="E4" i="3" s="1"/>
  <c r="E6" i="3" s="1"/>
  <c r="F3" i="3"/>
  <c r="F4" i="3" s="1"/>
  <c r="F6" i="3" s="1"/>
  <c r="G3" i="3"/>
  <c r="G4" i="3" s="1"/>
  <c r="G6" i="3" s="1"/>
  <c r="C3" i="3"/>
  <c r="C4" i="3" s="1"/>
  <c r="C6" i="3" s="1"/>
  <c r="G32" i="2"/>
  <c r="G33" i="2" s="1"/>
  <c r="G30" i="2"/>
  <c r="G29" i="2" s="1"/>
  <c r="I35" i="2"/>
  <c r="L35" i="2" s="1"/>
  <c r="J36" i="2" s="1"/>
  <c r="K28" i="2"/>
  <c r="L28" i="2" s="1"/>
  <c r="I28" i="2"/>
  <c r="H28" i="2" s="1"/>
  <c r="D29" i="2"/>
  <c r="B29" i="2"/>
  <c r="I13" i="2"/>
  <c r="D15" i="3" l="1"/>
  <c r="D16" i="3" s="1"/>
  <c r="E15" i="3"/>
  <c r="E16" i="3" s="1"/>
  <c r="R15" i="3"/>
  <c r="R16" i="3" s="1"/>
  <c r="S15" i="3"/>
  <c r="S16" i="3" s="1"/>
  <c r="N18" i="3" s="1"/>
  <c r="P15" i="3"/>
  <c r="P16" i="3" s="1"/>
  <c r="L15" i="3"/>
  <c r="L16" i="3" s="1"/>
  <c r="J15" i="3"/>
  <c r="J16" i="3" s="1"/>
  <c r="Q15" i="3"/>
  <c r="Q16" i="3" s="1"/>
  <c r="M15" i="3"/>
  <c r="M16" i="3" s="1"/>
  <c r="H18" i="3" s="1"/>
  <c r="I15" i="3"/>
  <c r="I16" i="3" s="1"/>
  <c r="G15" i="3"/>
  <c r="O15" i="3"/>
  <c r="O16" i="3" s="1"/>
  <c r="B34" i="2"/>
  <c r="B36" i="2" s="1"/>
  <c r="B20" i="2"/>
  <c r="B24" i="2"/>
  <c r="B23" i="2"/>
  <c r="B22" i="2"/>
  <c r="B21" i="2"/>
  <c r="B19" i="2"/>
  <c r="B18" i="2"/>
  <c r="B17" i="2"/>
  <c r="B16" i="2"/>
  <c r="B15" i="2"/>
  <c r="N19" i="3" l="1"/>
  <c r="N22" i="3" s="1"/>
  <c r="G16" i="3"/>
  <c r="B18" i="3" s="1"/>
  <c r="J37" i="2"/>
  <c r="K37" i="2" s="1"/>
  <c r="K15" i="3"/>
  <c r="K16" i="3" s="1"/>
  <c r="H19" i="3" s="1"/>
  <c r="H22" i="3" s="1"/>
  <c r="F15" i="3"/>
  <c r="F16" i="3" s="1"/>
  <c r="C15" i="3"/>
  <c r="C16" i="3" s="1"/>
  <c r="B25" i="2"/>
  <c r="L23" i="2" s="1"/>
  <c r="J24" i="2" s="1"/>
  <c r="G20" i="2"/>
  <c r="G21" i="2" s="1"/>
  <c r="G18" i="2"/>
  <c r="G17" i="2" s="1"/>
  <c r="I16" i="2"/>
  <c r="H16" i="2" s="1"/>
  <c r="K16" i="2"/>
  <c r="L16" i="2" s="1"/>
  <c r="I7" i="2"/>
  <c r="I6" i="2"/>
  <c r="I5" i="2"/>
  <c r="I2" i="2"/>
  <c r="C6" i="2"/>
  <c r="D6" i="2"/>
  <c r="E6" i="2"/>
  <c r="F6" i="2"/>
  <c r="B6" i="2"/>
  <c r="C2" i="2"/>
  <c r="D2" i="2"/>
  <c r="E2" i="2"/>
  <c r="F2" i="2"/>
  <c r="B2" i="2"/>
  <c r="B19" i="3" l="1"/>
  <c r="J25" i="2"/>
  <c r="K25" i="2" s="1"/>
  <c r="F5" i="2"/>
  <c r="E5" i="2"/>
  <c r="B5" i="2"/>
  <c r="B22" i="3" l="1"/>
  <c r="B33" i="3"/>
  <c r="B34" i="3" s="1"/>
  <c r="B36" i="3" s="1"/>
  <c r="C36" i="3" s="1"/>
  <c r="D5" i="2"/>
  <c r="F3" i="2"/>
  <c r="D3" i="2"/>
  <c r="E3" i="2"/>
  <c r="C3" i="2"/>
  <c r="B3" i="2"/>
  <c r="C5" i="2"/>
  <c r="B8" i="2" l="1"/>
  <c r="D8" i="2"/>
  <c r="C8" i="2"/>
  <c r="D11" i="2"/>
  <c r="F8" i="2"/>
  <c r="E8" i="2"/>
  <c r="B12" i="2" l="1"/>
  <c r="G16" i="2" s="1"/>
  <c r="D12" i="2"/>
  <c r="G28" i="2" s="1"/>
  <c r="B26" i="2" l="1"/>
  <c r="B27" i="2" s="1"/>
  <c r="D26" i="2"/>
  <c r="D27" i="2" s="1"/>
  <c r="D28" i="2" l="1"/>
  <c r="D30" i="2" s="1"/>
  <c r="E30" i="2" s="1"/>
  <c r="B28" i="2"/>
  <c r="B30" i="2" s="1"/>
  <c r="C30" i="2" s="1"/>
</calcChain>
</file>

<file path=xl/sharedStrings.xml><?xml version="1.0" encoding="utf-8"?>
<sst xmlns="http://schemas.openxmlformats.org/spreadsheetml/2006/main" count="105" uniqueCount="68">
  <si>
    <t>FY</t>
  </si>
  <si>
    <t>Tax Rate</t>
  </si>
  <si>
    <t>WACC</t>
  </si>
  <si>
    <t>EBIT</t>
  </si>
  <si>
    <t>Depreciation and Amortisation</t>
  </si>
  <si>
    <t>Capital Expenditure</t>
  </si>
  <si>
    <t>Change in Operating Working Capital</t>
  </si>
  <si>
    <t>Free Cash Flow</t>
  </si>
  <si>
    <t>Net Operating Profit After Tax</t>
  </si>
  <si>
    <t>Cost of Debt</t>
  </si>
  <si>
    <t>Market Value of Debt</t>
  </si>
  <si>
    <t>Cost of Equity</t>
  </si>
  <si>
    <t>Market Value of Equity</t>
  </si>
  <si>
    <t>Current Share Price</t>
  </si>
  <si>
    <t>Beta</t>
  </si>
  <si>
    <t>Equity Risk Premium</t>
  </si>
  <si>
    <t>Risk Free Rate</t>
  </si>
  <si>
    <t>Perpetuity Growth</t>
  </si>
  <si>
    <t>Discounted Value</t>
  </si>
  <si>
    <t>Enterprise Value</t>
  </si>
  <si>
    <t>Equity Value</t>
  </si>
  <si>
    <t>Current price</t>
  </si>
  <si>
    <t>Upside</t>
  </si>
  <si>
    <t>Bull</t>
  </si>
  <si>
    <t>Case:</t>
  </si>
  <si>
    <t>Net Debt</t>
  </si>
  <si>
    <t>Net Debt:</t>
  </si>
  <si>
    <t>Short Term Debt</t>
  </si>
  <si>
    <t>Long Term Debt</t>
  </si>
  <si>
    <t>Current Portion of Long Term Debt</t>
  </si>
  <si>
    <t>Current Portion of Leases</t>
  </si>
  <si>
    <t>Pension and Post-Retirement Bonuses</t>
  </si>
  <si>
    <t>Other Long-Term Liabilities</t>
  </si>
  <si>
    <t>Long-Term Deffered  Tax Liabilities</t>
  </si>
  <si>
    <t>Cash and Equivalents</t>
  </si>
  <si>
    <t>Long Term Investments</t>
  </si>
  <si>
    <t>Long Term Leases</t>
  </si>
  <si>
    <t>Bear</t>
  </si>
  <si>
    <t>Central</t>
  </si>
  <si>
    <t>Equity Value:</t>
  </si>
  <si>
    <t>Enterprise Value:</t>
  </si>
  <si>
    <t>Shares Outstanding</t>
  </si>
  <si>
    <t>Impact of Dilutive Shares</t>
  </si>
  <si>
    <t>Diluted Shares Outstanding</t>
  </si>
  <si>
    <t>Upside:</t>
  </si>
  <si>
    <t>Present Value of Terminal Value</t>
  </si>
  <si>
    <t>Perpetuity</t>
  </si>
  <si>
    <t>Multiple Method</t>
  </si>
  <si>
    <t>Perpetuity Approach</t>
  </si>
  <si>
    <t>EV/EBITDA Multiple</t>
  </si>
  <si>
    <t>EBITDA Multiple Approach</t>
  </si>
  <si>
    <t>Orthopaedics</t>
  </si>
  <si>
    <t>Sports Med and ENT</t>
  </si>
  <si>
    <t>Advanced Wound</t>
  </si>
  <si>
    <t>Revenue</t>
  </si>
  <si>
    <t>Net Operating Profit after Tax</t>
  </si>
  <si>
    <t>Equity Value per Ordinary Share</t>
  </si>
  <si>
    <t>Equity Value Per ADR Share</t>
  </si>
  <si>
    <t>EqV Per ADR Share:</t>
  </si>
  <si>
    <t>EBIT Margin</t>
  </si>
  <si>
    <t>D&amp;A Proportion</t>
  </si>
  <si>
    <t>Totals</t>
  </si>
  <si>
    <t>Segment Spending Proportion</t>
  </si>
  <si>
    <t>Discounted FCF</t>
  </si>
  <si>
    <t>Segment Enterprise Value</t>
  </si>
  <si>
    <t>Implied Equity Value</t>
  </si>
  <si>
    <t>Equity Value per ADR Share</t>
  </si>
  <si>
    <t>Share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</si>
</sst>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\(0\);\-"/>
    <numFmt numFmtId="165" formatCode="[Color10]0.00%;[Red]\(0.00\)%;\-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</cellStyleXfs>
  <cellXfs count="87">
    <xf numFmtId="0" fontId="0" fillId="0" borderId="0" xfId="0"/>
    <xf numFmtId="164" fontId="0" fillId="0" borderId="0" xfId="0" applyNumberFormat="1"/>
    <xf numFmtId="0" fontId="0" fillId="2" borderId="1" xfId="1" applyFont="1"/>
    <xf numFmtId="0" fontId="2" fillId="0" borderId="0" xfId="0" applyFont="1"/>
    <xf numFmtId="0" fontId="4" fillId="3" borderId="2" xfId="0" applyFont="1" applyFill="1" applyBorder="1"/>
    <xf numFmtId="164" fontId="2" fillId="0" borderId="0" xfId="0" applyNumberFormat="1" applyFont="1"/>
    <xf numFmtId="164" fontId="2" fillId="0" borderId="3" xfId="0" applyNumberFormat="1" applyFont="1" applyBorder="1"/>
    <xf numFmtId="1" fontId="0" fillId="2" borderId="1" xfId="1" applyNumberFormat="1" applyFont="1"/>
    <xf numFmtId="165" fontId="3" fillId="2" borderId="1" xfId="1" applyNumberFormat="1" applyFont="1"/>
    <xf numFmtId="2" fontId="2" fillId="0" borderId="0" xfId="0" applyNumberFormat="1" applyFont="1"/>
    <xf numFmtId="165" fontId="3" fillId="4" borderId="0" xfId="1" applyNumberFormat="1" applyFont="1" applyFill="1" applyBorder="1"/>
    <xf numFmtId="0" fontId="7" fillId="0" borderId="0" xfId="0" applyFont="1"/>
    <xf numFmtId="164" fontId="5" fillId="5" borderId="5" xfId="3" applyNumberFormat="1" applyBorder="1"/>
    <xf numFmtId="164" fontId="6" fillId="6" borderId="0" xfId="4" applyNumberFormat="1" applyBorder="1"/>
    <xf numFmtId="164" fontId="6" fillId="6" borderId="2" xfId="4" applyNumberFormat="1" applyBorder="1"/>
    <xf numFmtId="164" fontId="6" fillId="6" borderId="4" xfId="4" applyNumberFormat="1" applyBorder="1"/>
    <xf numFmtId="164" fontId="6" fillId="6" borderId="7" xfId="4" applyNumberFormat="1" applyBorder="1"/>
    <xf numFmtId="164" fontId="1" fillId="2" borderId="9" xfId="1" applyNumberFormat="1" applyFont="1" applyBorder="1"/>
    <xf numFmtId="164" fontId="1" fillId="2" borderId="4" xfId="1" applyNumberFormat="1" applyFont="1" applyBorder="1"/>
    <xf numFmtId="164" fontId="1" fillId="2" borderId="7" xfId="1" applyNumberFormat="1" applyFont="1" applyBorder="1"/>
    <xf numFmtId="164" fontId="1" fillId="2" borderId="6" xfId="1" applyNumberFormat="1" applyFont="1" applyBorder="1"/>
    <xf numFmtId="164" fontId="1" fillId="2" borderId="2" xfId="1" applyNumberFormat="1" applyFont="1" applyBorder="1"/>
    <xf numFmtId="164" fontId="1" fillId="2" borderId="8" xfId="1" applyNumberFormat="1" applyFont="1" applyBorder="1"/>
    <xf numFmtId="164" fontId="1" fillId="2" borderId="10" xfId="1" applyNumberFormat="1" applyFont="1" applyBorder="1"/>
    <xf numFmtId="164" fontId="1" fillId="2" borderId="3" xfId="1" applyNumberFormat="1" applyFont="1" applyBorder="1"/>
    <xf numFmtId="10" fontId="4" fillId="3" borderId="2" xfId="2" applyNumberFormat="1" applyFont="1" applyFill="1" applyBorder="1"/>
    <xf numFmtId="1" fontId="4" fillId="3" borderId="2" xfId="0" applyNumberFormat="1" applyFont="1" applyFill="1" applyBorder="1"/>
    <xf numFmtId="2" fontId="0" fillId="0" borderId="0" xfId="0" applyNumberFormat="1"/>
    <xf numFmtId="0" fontId="0" fillId="0" borderId="0" xfId="0" applyAlignment="1">
      <alignment horizontal="right"/>
    </xf>
    <xf numFmtId="0" fontId="7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2" fontId="0" fillId="2" borderId="1" xfId="1" applyNumberFormat="1" applyFont="1"/>
    <xf numFmtId="0" fontId="8" fillId="0" borderId="0" xfId="0" applyFont="1" applyAlignment="1">
      <alignment horizontal="centerContinuous"/>
    </xf>
    <xf numFmtId="0" fontId="0" fillId="2" borderId="1" xfId="1" applyFont="1" applyAlignment="1">
      <alignment horizontal="right"/>
    </xf>
    <xf numFmtId="0" fontId="4" fillId="3" borderId="2" xfId="0" applyFont="1" applyFill="1" applyBorder="1" applyAlignment="1">
      <alignment horizontal="centerContinuous"/>
    </xf>
    <xf numFmtId="0" fontId="4" fillId="3" borderId="7" xfId="0" applyFont="1" applyFill="1" applyBorder="1" applyAlignment="1">
      <alignment horizontal="centerContinuous"/>
    </xf>
    <xf numFmtId="0" fontId="0" fillId="0" borderId="4" xfId="0" applyBorder="1"/>
    <xf numFmtId="0" fontId="9" fillId="3" borderId="2" xfId="0" applyFont="1" applyFill="1" applyBorder="1" applyAlignment="1">
      <alignment horizontal="centerContinuous"/>
    </xf>
    <xf numFmtId="0" fontId="9" fillId="3" borderId="7" xfId="0" applyFont="1" applyFill="1" applyBorder="1" applyAlignment="1">
      <alignment horizontal="centerContinuous"/>
    </xf>
    <xf numFmtId="164" fontId="0" fillId="0" borderId="4" xfId="0" applyNumberFormat="1" applyBorder="1"/>
    <xf numFmtId="164" fontId="2" fillId="0" borderId="4" xfId="0" applyNumberFormat="1" applyFont="1" applyBorder="1"/>
    <xf numFmtId="0" fontId="2" fillId="0" borderId="0" xfId="0" applyFont="1" applyAlignment="1">
      <alignment horizontal="right"/>
    </xf>
    <xf numFmtId="0" fontId="2" fillId="0" borderId="3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2" fillId="0" borderId="4" xfId="0" applyFont="1" applyBorder="1" applyAlignment="1">
      <alignment horizontal="right"/>
    </xf>
    <xf numFmtId="164" fontId="10" fillId="0" borderId="0" xfId="0" applyNumberFormat="1" applyFont="1"/>
    <xf numFmtId="165" fontId="11" fillId="2" borderId="1" xfId="1" applyNumberFormat="1" applyFont="1"/>
    <xf numFmtId="0" fontId="12" fillId="0" borderId="0" xfId="0" applyFont="1"/>
    <xf numFmtId="0" fontId="10" fillId="0" borderId="0" xfId="0" applyFont="1"/>
    <xf numFmtId="164" fontId="10" fillId="0" borderId="4" xfId="0" applyNumberFormat="1" applyFont="1" applyBorder="1"/>
    <xf numFmtId="164" fontId="10" fillId="0" borderId="9" xfId="0" applyNumberFormat="1" applyFont="1" applyBorder="1"/>
    <xf numFmtId="2" fontId="4" fillId="3" borderId="2" xfId="2" applyNumberFormat="1" applyFont="1" applyFill="1" applyBorder="1"/>
    <xf numFmtId="0" fontId="0" fillId="0" borderId="0" xfId="0" applyBorder="1" applyAlignment="1">
      <alignment horizontal="right"/>
    </xf>
    <xf numFmtId="0" fontId="2" fillId="0" borderId="0" xfId="0" applyFont="1" applyBorder="1" applyAlignment="1">
      <alignment horizontal="right"/>
    </xf>
    <xf numFmtId="0" fontId="0" fillId="0" borderId="0" xfId="0" applyBorder="1"/>
    <xf numFmtId="0" fontId="7" fillId="0" borderId="0" xfId="0" applyFont="1" applyBorder="1"/>
    <xf numFmtId="0" fontId="2" fillId="0" borderId="0" xfId="0" applyFont="1" applyBorder="1"/>
    <xf numFmtId="164" fontId="10" fillId="0" borderId="0" xfId="0" applyNumberFormat="1" applyFont="1" applyBorder="1"/>
    <xf numFmtId="164" fontId="0" fillId="0" borderId="0" xfId="0" applyNumberFormat="1" applyBorder="1"/>
    <xf numFmtId="164" fontId="2" fillId="0" borderId="0" xfId="0" applyNumberFormat="1" applyFont="1" applyBorder="1"/>
    <xf numFmtId="164" fontId="14" fillId="0" borderId="0" xfId="0" applyNumberFormat="1" applyFont="1" applyBorder="1"/>
    <xf numFmtId="0" fontId="10" fillId="0" borderId="0" xfId="0" applyFont="1" applyBorder="1" applyAlignment="1">
      <alignment horizontal="right"/>
    </xf>
    <xf numFmtId="0" fontId="0" fillId="0" borderId="4" xfId="0" applyFont="1" applyBorder="1" applyAlignment="1">
      <alignment horizontal="right"/>
    </xf>
    <xf numFmtId="0" fontId="0" fillId="0" borderId="0" xfId="0" applyFont="1" applyBorder="1" applyAlignment="1">
      <alignment horizontal="right"/>
    </xf>
    <xf numFmtId="0" fontId="0" fillId="0" borderId="0" xfId="0" applyFont="1"/>
    <xf numFmtId="164" fontId="0" fillId="0" borderId="0" xfId="0" applyNumberFormat="1" applyFont="1"/>
    <xf numFmtId="164" fontId="0" fillId="0" borderId="4" xfId="0" applyNumberFormat="1" applyFont="1" applyBorder="1"/>
    <xf numFmtId="164" fontId="0" fillId="0" borderId="0" xfId="0" applyNumberFormat="1" applyFont="1" applyBorder="1"/>
    <xf numFmtId="1" fontId="0" fillId="0" borderId="0" xfId="0" applyNumberFormat="1" applyFont="1"/>
    <xf numFmtId="1" fontId="0" fillId="0" borderId="4" xfId="0" applyNumberFormat="1" applyFont="1" applyBorder="1"/>
    <xf numFmtId="164" fontId="13" fillId="0" borderId="0" xfId="0" applyNumberFormat="1" applyFont="1"/>
    <xf numFmtId="164" fontId="15" fillId="2" borderId="1" xfId="1" applyNumberFormat="1" applyFont="1"/>
    <xf numFmtId="164" fontId="15" fillId="2" borderId="1" xfId="1" applyNumberFormat="1" applyFont="1" applyAlignment="1">
      <alignment horizontal="center"/>
    </xf>
    <xf numFmtId="164" fontId="10" fillId="2" borderId="1" xfId="1" applyNumberFormat="1" applyFont="1"/>
    <xf numFmtId="164" fontId="14" fillId="2" borderId="1" xfId="1" applyNumberFormat="1" applyFont="1"/>
    <xf numFmtId="0" fontId="0" fillId="0" borderId="9" xfId="0" applyFont="1" applyBorder="1" applyAlignment="1">
      <alignment horizontal="right"/>
    </xf>
    <xf numFmtId="164" fontId="0" fillId="0" borderId="3" xfId="0" applyNumberFormat="1" applyBorder="1"/>
    <xf numFmtId="164" fontId="0" fillId="0" borderId="9" xfId="0" applyNumberFormat="1" applyBorder="1"/>
    <xf numFmtId="164" fontId="0" fillId="0" borderId="0" xfId="0" applyNumberFormat="1" applyAlignment="1">
      <alignment horizontal="right"/>
    </xf>
    <xf numFmtId="164" fontId="0" fillId="0" borderId="0" xfId="0" applyNumberFormat="1" applyBorder="1" applyAlignment="1">
      <alignment horizontal="right"/>
    </xf>
    <xf numFmtId="2" fontId="0" fillId="0" borderId="0" xfId="0" applyNumberFormat="1" applyBorder="1" applyAlignment="1">
      <alignment horizontal="right"/>
    </xf>
    <xf numFmtId="0" fontId="0" fillId="0" borderId="0" xfId="0" applyFill="1" applyBorder="1" applyAlignment="1">
      <alignment horizontal="right"/>
    </xf>
    <xf numFmtId="2" fontId="0" fillId="0" borderId="0" xfId="0" applyNumberFormat="1" applyFont="1" applyBorder="1"/>
    <xf numFmtId="0" fontId="2" fillId="0" borderId="0" xfId="0" applyFont="1" applyAlignment="1">
      <alignment horizontal="centerContinuous"/>
    </xf>
    <xf numFmtId="0" fontId="0" fillId="0" borderId="0" xfId="0" applyBorder="1" applyAlignment="1">
      <alignment horizontal="centerContinuous"/>
    </xf>
    <xf numFmtId="1" fontId="0" fillId="0" borderId="0" xfId="0" applyNumberFormat="1" applyAlignment="1">
      <alignment horizontal="centerContinuous"/>
    </xf>
    <xf numFmtId="2" fontId="0" fillId="0" borderId="0" xfId="0" applyNumberFormat="1" applyAlignment="1">
      <alignment horizontal="centerContinuous"/>
    </xf>
  </cellXfs>
  <cellStyles count="5">
    <cellStyle name="Bad" xfId="4" builtinId="27"/>
    <cellStyle name="Good" xfId="3" builtinId="26"/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2">
          <cell r="F2">
            <v>5810</v>
          </cell>
        </row>
        <row r="8">
          <cell r="F8">
            <v>886</v>
          </cell>
          <cell r="G8">
            <v>865.81174197145447</v>
          </cell>
          <cell r="H8">
            <v>920.46118290715049</v>
          </cell>
          <cell r="I8">
            <v>978.74063885457053</v>
          </cell>
          <cell r="J8">
            <v>1040.9023874430359</v>
          </cell>
          <cell r="K8">
            <v>1107.2169098036211</v>
          </cell>
          <cell r="N8">
            <v>0.5</v>
          </cell>
        </row>
        <row r="24">
          <cell r="F24">
            <v>873</v>
          </cell>
        </row>
        <row r="25">
          <cell r="F25">
            <v>876</v>
          </cell>
        </row>
        <row r="39">
          <cell r="F39">
            <v>449</v>
          </cell>
          <cell r="G39">
            <v>474.10524395977473</v>
          </cell>
          <cell r="H39">
            <v>504.03044047892519</v>
          </cell>
          <cell r="I39">
            <v>535.94337759950497</v>
          </cell>
          <cell r="J39">
            <v>569.98219868593901</v>
          </cell>
          <cell r="K39">
            <v>606.29501506130021</v>
          </cell>
        </row>
        <row r="40">
          <cell r="F40">
            <v>1335</v>
          </cell>
        </row>
        <row r="43">
          <cell r="F43">
            <v>2305</v>
          </cell>
          <cell r="G43">
            <v>2413.6991302341535</v>
          </cell>
          <cell r="H43">
            <v>2527.5242912334529</v>
          </cell>
          <cell r="I43">
            <v>2646.7172162238094</v>
          </cell>
          <cell r="J43">
            <v>2771.5310380803335</v>
          </cell>
          <cell r="K43">
            <v>2902.230826911697</v>
          </cell>
        </row>
        <row r="44">
          <cell r="F44">
            <v>1824</v>
          </cell>
          <cell r="G44">
            <v>1972.7566005307594</v>
          </cell>
          <cell r="H44">
            <v>2133.6450684965343</v>
          </cell>
          <cell r="I44">
            <v>2307.6548202118656</v>
          </cell>
          <cell r="J44">
            <v>2495.8559639909986</v>
          </cell>
          <cell r="K44">
            <v>2699.405880996329</v>
          </cell>
        </row>
        <row r="45">
          <cell r="F45">
            <v>1681</v>
          </cell>
          <cell r="G45">
            <v>1789.1296699937484</v>
          </cell>
          <cell r="H45">
            <v>1904.2147388768226</v>
          </cell>
          <cell r="I45">
            <v>2026.7026099725886</v>
          </cell>
          <cell r="J45">
            <v>2157.0694656488554</v>
          </cell>
          <cell r="K45">
            <v>2295.8221185186958</v>
          </cell>
        </row>
      </sheetData>
      <sheetData sheetId="1">
        <row r="3">
          <cell r="F3">
            <v>619</v>
          </cell>
        </row>
        <row r="7">
          <cell r="N7">
            <v>0.10567499999999999</v>
          </cell>
        </row>
        <row r="12">
          <cell r="F12">
            <v>16</v>
          </cell>
        </row>
        <row r="22">
          <cell r="F22">
            <v>2</v>
          </cell>
        </row>
        <row r="23">
          <cell r="F23">
            <v>0</v>
          </cell>
        </row>
        <row r="24">
          <cell r="F24">
            <v>61</v>
          </cell>
        </row>
        <row r="28">
          <cell r="F28">
            <v>3123</v>
          </cell>
        </row>
        <row r="29">
          <cell r="F29">
            <v>135</v>
          </cell>
        </row>
        <row r="30">
          <cell r="F30">
            <v>79</v>
          </cell>
        </row>
        <row r="31">
          <cell r="F31">
            <v>31</v>
          </cell>
        </row>
        <row r="32">
          <cell r="F32">
            <v>190</v>
          </cell>
        </row>
        <row r="49">
          <cell r="F49">
            <v>2986</v>
          </cell>
        </row>
        <row r="52">
          <cell r="G52">
            <v>149.35645811619816</v>
          </cell>
        </row>
        <row r="53">
          <cell r="F53">
            <v>-381</v>
          </cell>
          <cell r="G53">
            <v>-477.50310262561572</v>
          </cell>
          <cell r="H53">
            <v>-507.64276964391172</v>
          </cell>
          <cell r="I53">
            <v>-539.78442317572933</v>
          </cell>
          <cell r="J53">
            <v>-574.06719664336379</v>
          </cell>
          <cell r="K53">
            <v>-610.64026286698993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E0D3-EC22-43DB-ABCF-85A4F712E8DB}">
  <dimension ref="A1:O37"/>
  <sheetViews>
    <sheetView showGridLines="0" topLeftCell="A2" workbookViewId="0">
      <pane xSplit="1" topLeftCell="B1" activePane="topRight" state="frozen"/>
      <selection pane="topRight" activeCell="J22" sqref="J22"/>
    </sheetView>
  </sheetViews>
  <sheetFormatPr defaultRowHeight="14.4" x14ac:dyDescent="0.3"/>
  <cols>
    <col min="1" max="1" width="32" bestFit="1" customWidth="1"/>
    <col min="2" max="2" width="9.77734375" customWidth="1"/>
    <col min="5" max="5" width="11.33203125" customWidth="1"/>
    <col min="6" max="6" width="8" bestFit="1" customWidth="1"/>
    <col min="7" max="7" width="9.109375" bestFit="1" customWidth="1"/>
    <col min="8" max="8" width="18.6640625" bestFit="1" customWidth="1"/>
    <col min="9" max="9" width="12" bestFit="1" customWidth="1"/>
    <col min="10" max="10" width="7.109375" bestFit="1" customWidth="1"/>
    <col min="12" max="12" width="12" bestFit="1" customWidth="1"/>
    <col min="15" max="15" width="0" hidden="1" customWidth="1"/>
  </cols>
  <sheetData>
    <row r="1" spans="1:15" x14ac:dyDescent="0.3">
      <c r="A1" s="4" t="s">
        <v>0</v>
      </c>
      <c r="B1" s="4">
        <v>2025</v>
      </c>
      <c r="C1" s="4">
        <v>2026</v>
      </c>
      <c r="D1" s="4">
        <v>2027</v>
      </c>
      <c r="E1" s="4">
        <v>2028</v>
      </c>
      <c r="F1" s="4">
        <v>2029</v>
      </c>
    </row>
    <row r="2" spans="1:15" x14ac:dyDescent="0.3">
      <c r="A2" s="28" t="s">
        <v>3</v>
      </c>
      <c r="B2" s="45">
        <f>'[1]Income Statement'!G8</f>
        <v>865.81174197145447</v>
      </c>
      <c r="C2" s="45">
        <f>'[1]Income Statement'!H8</f>
        <v>920.46118290715049</v>
      </c>
      <c r="D2" s="45">
        <f>'[1]Income Statement'!I8</f>
        <v>978.74063885457053</v>
      </c>
      <c r="E2" s="45">
        <f>'[1]Income Statement'!J8</f>
        <v>1040.9023874430359</v>
      </c>
      <c r="F2" s="45">
        <f>'[1]Income Statement'!K8</f>
        <v>1107.2169098036211</v>
      </c>
      <c r="H2" s="33" t="s">
        <v>1</v>
      </c>
      <c r="I2" s="46">
        <f>'[1]Balance Sheet'!$N$7</f>
        <v>0.10567499999999999</v>
      </c>
      <c r="O2" t="s">
        <v>23</v>
      </c>
    </row>
    <row r="3" spans="1:15" x14ac:dyDescent="0.3">
      <c r="A3" s="41" t="s">
        <v>8</v>
      </c>
      <c r="B3" s="5">
        <f>B2*(1-DCF!$I$2)</f>
        <v>774.31708613862099</v>
      </c>
      <c r="C3" s="5">
        <f>C2*(1-DCF!$I$2)</f>
        <v>823.19144740343734</v>
      </c>
      <c r="D3" s="5">
        <f>D2*(1-DCF!$I$2)</f>
        <v>875.31222184361388</v>
      </c>
      <c r="E3" s="5">
        <f>E2*(1-DCF!$I$2)</f>
        <v>930.90502764999314</v>
      </c>
      <c r="F3" s="5">
        <f>F2*(1-DCF!$I$2)</f>
        <v>990.21176286012349</v>
      </c>
      <c r="H3" s="33" t="s">
        <v>16</v>
      </c>
      <c r="I3" s="8">
        <v>4.1000000000000002E-2</v>
      </c>
      <c r="O3" t="s">
        <v>38</v>
      </c>
    </row>
    <row r="4" spans="1:15" x14ac:dyDescent="0.3">
      <c r="A4" s="28" t="s">
        <v>4</v>
      </c>
      <c r="B4" s="45">
        <f>'[1]Income Statement'!G39</f>
        <v>474.10524395977473</v>
      </c>
      <c r="C4" s="45">
        <f>'[1]Income Statement'!H39</f>
        <v>504.03044047892519</v>
      </c>
      <c r="D4" s="45">
        <f>'[1]Income Statement'!I39</f>
        <v>535.94337759950497</v>
      </c>
      <c r="E4" s="45">
        <f>'[1]Income Statement'!J39</f>
        <v>569.98219868593901</v>
      </c>
      <c r="F4" s="45">
        <f>'[1]Income Statement'!K39</f>
        <v>606.29501506130021</v>
      </c>
      <c r="H4" s="33" t="s">
        <v>2</v>
      </c>
      <c r="I4" s="8">
        <f>(((I8/(I8+I6))*I7)+((I6/(I8+I6))*I5))*(1-I2)</f>
        <v>5.7975388146743925E-2</v>
      </c>
      <c r="O4" t="s">
        <v>37</v>
      </c>
    </row>
    <row r="5" spans="1:15" x14ac:dyDescent="0.3">
      <c r="A5" s="28" t="s">
        <v>5</v>
      </c>
      <c r="B5" s="45">
        <f>'[1]Balance Sheet'!G53</f>
        <v>-477.50310262561572</v>
      </c>
      <c r="C5" s="45">
        <f>'[1]Balance Sheet'!H53</f>
        <v>-507.64276964391172</v>
      </c>
      <c r="D5" s="45">
        <f>'[1]Balance Sheet'!I53</f>
        <v>-539.78442317572933</v>
      </c>
      <c r="E5" s="45">
        <f>'[1]Balance Sheet'!J53</f>
        <v>-574.06719664336379</v>
      </c>
      <c r="F5" s="45">
        <f>'[1]Balance Sheet'!K53</f>
        <v>-610.64026286698993</v>
      </c>
      <c r="H5" s="33" t="s">
        <v>9</v>
      </c>
      <c r="I5" s="8">
        <f>0.056</f>
        <v>5.6000000000000001E-2</v>
      </c>
    </row>
    <row r="6" spans="1:15" x14ac:dyDescent="0.3">
      <c r="A6" s="28" t="s">
        <v>6</v>
      </c>
      <c r="B6" s="45">
        <f>-'[1]Balance Sheet'!$G$52</f>
        <v>-149.35645811619816</v>
      </c>
      <c r="C6" s="45">
        <f>-'[1]Balance Sheet'!$G$52</f>
        <v>-149.35645811619816</v>
      </c>
      <c r="D6" s="45">
        <f>-'[1]Balance Sheet'!$G$52</f>
        <v>-149.35645811619816</v>
      </c>
      <c r="E6" s="45">
        <f>-'[1]Balance Sheet'!$G$52</f>
        <v>-149.35645811619816</v>
      </c>
      <c r="F6" s="45">
        <f>-'[1]Balance Sheet'!$G$52</f>
        <v>-149.35645811619816</v>
      </c>
      <c r="H6" s="33" t="s">
        <v>10</v>
      </c>
      <c r="I6" s="2">
        <f>'[1]Balance Sheet'!$F$49</f>
        <v>2986</v>
      </c>
    </row>
    <row r="7" spans="1:15" x14ac:dyDescent="0.3">
      <c r="A7" s="42" t="s">
        <v>7</v>
      </c>
      <c r="B7" s="6">
        <f>SUM(B3:B6)</f>
        <v>621.56276935658195</v>
      </c>
      <c r="C7" s="6">
        <f t="shared" ref="C7:F7" si="0">SUM(C3:C6)</f>
        <v>670.22266012225271</v>
      </c>
      <c r="D7" s="6">
        <f t="shared" si="0"/>
        <v>722.11471815119137</v>
      </c>
      <c r="E7" s="6">
        <f t="shared" si="0"/>
        <v>777.46357157637021</v>
      </c>
      <c r="F7" s="6">
        <f t="shared" si="0"/>
        <v>836.51005693823561</v>
      </c>
      <c r="H7" s="33" t="s">
        <v>11</v>
      </c>
      <c r="I7" s="8">
        <f>I3+(I10*I11)</f>
        <v>6.6460000000000005E-2</v>
      </c>
    </row>
    <row r="8" spans="1:15" x14ac:dyDescent="0.3">
      <c r="A8" s="28" t="s">
        <v>18</v>
      </c>
      <c r="B8" s="1">
        <f>B7/((1+DCF!$I$4)^(DCF!B1-2024))</f>
        <v>587.50210668451723</v>
      </c>
      <c r="C8" s="1">
        <f>C7/((1+DCF!$I$4)^(DCF!C1-2024))</f>
        <v>598.7809537220387</v>
      </c>
      <c r="D8" s="1">
        <f>D7/((1+DCF!$I$4)^(DCF!D1-2024))</f>
        <v>609.78888313649293</v>
      </c>
      <c r="E8" s="1">
        <f>E7/((1+DCF!$I$4)^(DCF!E1-2024))</f>
        <v>620.55144335444652</v>
      </c>
      <c r="F8" s="1">
        <f>F7/((1+DCF!$I$4)^(DCF!F1-2024))</f>
        <v>631.09297064712882</v>
      </c>
      <c r="H8" s="33" t="s">
        <v>12</v>
      </c>
      <c r="I8" s="7">
        <f>I9*('[1]Income Statement'!$F$25*'[1]Income Statement'!$N$8)</f>
        <v>16127.16</v>
      </c>
    </row>
    <row r="9" spans="1:15" x14ac:dyDescent="0.3">
      <c r="A9" s="28"/>
      <c r="B9" s="1"/>
      <c r="C9" s="1"/>
      <c r="D9" s="1"/>
      <c r="E9" s="1"/>
      <c r="F9" s="1"/>
      <c r="H9" s="33" t="s">
        <v>13</v>
      </c>
      <c r="I9" s="2">
        <v>36.82</v>
      </c>
    </row>
    <row r="10" spans="1:15" x14ac:dyDescent="0.3">
      <c r="A10" s="28"/>
      <c r="B10" s="11" t="s">
        <v>46</v>
      </c>
      <c r="D10" s="29" t="s">
        <v>47</v>
      </c>
      <c r="H10" s="33" t="s">
        <v>14</v>
      </c>
      <c r="I10" s="2">
        <v>0.67</v>
      </c>
    </row>
    <row r="11" spans="1:15" x14ac:dyDescent="0.3">
      <c r="A11" s="41" t="s">
        <v>45</v>
      </c>
      <c r="B11" s="5">
        <f>((F7*(1+DCF!I12))/(DCF!I4-DCF!I12))/((1+I4)^5)</f>
        <v>16950.842676647262</v>
      </c>
      <c r="D11" s="5">
        <f>((F2+F4)*I13)/((1+I4)^5)</f>
        <v>15616.580217387107</v>
      </c>
      <c r="H11" s="33" t="s">
        <v>15</v>
      </c>
      <c r="I11" s="8">
        <v>3.7999999999999999E-2</v>
      </c>
    </row>
    <row r="12" spans="1:15" x14ac:dyDescent="0.3">
      <c r="A12" s="41" t="s">
        <v>19</v>
      </c>
      <c r="B12" s="5">
        <f>SUM(B8:F8)+B11</f>
        <v>19998.559034191887</v>
      </c>
      <c r="D12" s="5">
        <f>SUM(B8:F8)+D11</f>
        <v>18664.29657493173</v>
      </c>
      <c r="H12" s="33" t="s">
        <v>17</v>
      </c>
      <c r="I12" s="8">
        <v>0.02</v>
      </c>
    </row>
    <row r="13" spans="1:15" x14ac:dyDescent="0.3">
      <c r="A13" s="3"/>
      <c r="B13" s="5"/>
      <c r="H13" s="33" t="s">
        <v>49</v>
      </c>
      <c r="I13" s="31">
        <f>I8/'[1]Income Statement'!$F$40</f>
        <v>12.080269662921348</v>
      </c>
    </row>
    <row r="14" spans="1:15" x14ac:dyDescent="0.3">
      <c r="A14" s="11" t="s">
        <v>26</v>
      </c>
      <c r="B14" s="5"/>
    </row>
    <row r="15" spans="1:15" x14ac:dyDescent="0.3">
      <c r="A15" s="28" t="s">
        <v>27</v>
      </c>
      <c r="B15" s="45">
        <f>'[1]Balance Sheet'!$F$22</f>
        <v>2</v>
      </c>
      <c r="G15" s="32" t="s">
        <v>48</v>
      </c>
      <c r="H15" s="30"/>
      <c r="I15" s="30"/>
      <c r="J15" s="30"/>
      <c r="K15" s="30"/>
      <c r="L15" s="30"/>
    </row>
    <row r="16" spans="1:15" x14ac:dyDescent="0.3">
      <c r="A16" s="28" t="s">
        <v>28</v>
      </c>
      <c r="B16" s="45">
        <f>'[1]Balance Sheet'!$F$28</f>
        <v>3123</v>
      </c>
      <c r="G16" s="26">
        <f>B12</f>
        <v>19998.559034191887</v>
      </c>
      <c r="H16" s="25">
        <f>I16-0.005</f>
        <v>4.797538814674393E-2</v>
      </c>
      <c r="I16" s="25">
        <f>J16-0.005</f>
        <v>5.2975388146743928E-2</v>
      </c>
      <c r="J16" s="25">
        <v>5.7975388146743925E-2</v>
      </c>
      <c r="K16" s="25">
        <f>J16+0.005</f>
        <v>6.297538814674393E-2</v>
      </c>
      <c r="L16" s="25">
        <f>K16+0.005</f>
        <v>6.7975388146743934E-2</v>
      </c>
    </row>
    <row r="17" spans="1:12" x14ac:dyDescent="0.3">
      <c r="A17" s="28" t="s">
        <v>29</v>
      </c>
      <c r="B17" s="45">
        <f>'[1]Balance Sheet'!$F$23</f>
        <v>0</v>
      </c>
      <c r="G17" s="25">
        <f>G18-0.005</f>
        <v>9.9999999999999985E-3</v>
      </c>
      <c r="H17" s="13">
        <f t="dataTable" ref="H17:L21" dt2D="1" dtr="1" r1="I4" r2="I12"/>
        <v>20738.04588044636</v>
      </c>
      <c r="I17" s="13">
        <v>18279.268545146788</v>
      </c>
      <c r="J17" s="13">
        <v>16333.77666838466</v>
      </c>
      <c r="K17" s="13">
        <v>14756.215972996846</v>
      </c>
      <c r="L17" s="15">
        <v>13451.376096116624</v>
      </c>
    </row>
    <row r="18" spans="1:12" x14ac:dyDescent="0.3">
      <c r="A18" s="28" t="s">
        <v>30</v>
      </c>
      <c r="B18" s="45">
        <f>'[1]Balance Sheet'!$F$24</f>
        <v>61</v>
      </c>
      <c r="G18" s="25">
        <f>G19-0.005</f>
        <v>1.4999999999999999E-2</v>
      </c>
      <c r="H18" s="13">
        <v>23507.18452249312</v>
      </c>
      <c r="I18" s="22">
        <v>20363.981477702382</v>
      </c>
      <c r="J18" s="24">
        <v>17952.977085372822</v>
      </c>
      <c r="K18" s="17">
        <v>16045.224202434993</v>
      </c>
      <c r="L18" s="15">
        <v>14498.211449864146</v>
      </c>
    </row>
    <row r="19" spans="1:12" x14ac:dyDescent="0.3">
      <c r="A19" s="28" t="s">
        <v>31</v>
      </c>
      <c r="B19" s="45">
        <f>'[1]Balance Sheet'!$F$30</f>
        <v>79</v>
      </c>
      <c r="G19" s="25">
        <v>0.02</v>
      </c>
      <c r="H19" s="13">
        <v>27266.171322328199</v>
      </c>
      <c r="I19" s="23">
        <v>23080.897107396344</v>
      </c>
      <c r="J19" s="12">
        <v>19998.559034191887</v>
      </c>
      <c r="K19" s="18">
        <v>17634.173464409418</v>
      </c>
      <c r="L19" s="15">
        <v>15763.249385015602</v>
      </c>
    </row>
    <row r="20" spans="1:12" x14ac:dyDescent="0.3">
      <c r="A20" s="28" t="s">
        <v>36</v>
      </c>
      <c r="B20" s="45">
        <f>'[1]Balance Sheet'!$F$29</f>
        <v>135</v>
      </c>
      <c r="G20" s="25">
        <f>G19+0.005</f>
        <v>2.5000000000000001E-2</v>
      </c>
      <c r="H20" s="13">
        <v>32661.250960215191</v>
      </c>
      <c r="I20" s="20">
        <v>26768.993410417326</v>
      </c>
      <c r="J20" s="21">
        <v>22664.476955923834</v>
      </c>
      <c r="K20" s="19">
        <v>19641.538268532982</v>
      </c>
      <c r="L20" s="15">
        <v>17322.650673170836</v>
      </c>
    </row>
    <row r="21" spans="1:12" x14ac:dyDescent="0.3">
      <c r="A21" s="28" t="s">
        <v>33</v>
      </c>
      <c r="B21" s="45">
        <f>'[1]Balance Sheet'!$F$31</f>
        <v>31</v>
      </c>
      <c r="G21" s="25">
        <f>G20+0.005</f>
        <v>3.0000000000000002E-2</v>
      </c>
      <c r="H21" s="14">
        <v>41057.700912803441</v>
      </c>
      <c r="I21" s="14">
        <v>32062.327579046978</v>
      </c>
      <c r="J21" s="14">
        <v>26283.346060226686</v>
      </c>
      <c r="K21" s="14">
        <v>22257.649448951077</v>
      </c>
      <c r="L21" s="16">
        <v>19292.686681405674</v>
      </c>
    </row>
    <row r="22" spans="1:12" x14ac:dyDescent="0.3">
      <c r="A22" s="28" t="s">
        <v>32</v>
      </c>
      <c r="B22" s="45">
        <f>'[1]Balance Sheet'!$F$32</f>
        <v>190</v>
      </c>
      <c r="I22" s="28" t="s">
        <v>24</v>
      </c>
      <c r="J22" s="3" t="s">
        <v>38</v>
      </c>
    </row>
    <row r="23" spans="1:12" x14ac:dyDescent="0.3">
      <c r="A23" s="28" t="s">
        <v>34</v>
      </c>
      <c r="B23" s="45">
        <f>'[1]Balance Sheet'!$F$3</f>
        <v>619</v>
      </c>
      <c r="H23" s="28" t="s">
        <v>40</v>
      </c>
      <c r="I23" s="27">
        <f>IF(J22="Bull",I20,IF(J22="Bear",K18,IF(J22="Central",J19,"Error")))</f>
        <v>19998.559034191887</v>
      </c>
      <c r="K23" s="28" t="s">
        <v>39</v>
      </c>
      <c r="L23" s="27">
        <f>I23-B25</f>
        <v>17012.559034191887</v>
      </c>
    </row>
    <row r="24" spans="1:12" x14ac:dyDescent="0.3">
      <c r="A24" s="28" t="s">
        <v>35</v>
      </c>
      <c r="B24" s="45">
        <f>'[1]Balance Sheet'!$F$12</f>
        <v>16</v>
      </c>
      <c r="I24" s="28" t="s">
        <v>58</v>
      </c>
      <c r="J24" s="27">
        <f>L23/B36*2</f>
        <v>38.841458982173258</v>
      </c>
    </row>
    <row r="25" spans="1:12" x14ac:dyDescent="0.3">
      <c r="A25" s="41" t="s">
        <v>25</v>
      </c>
      <c r="B25">
        <f>SUM(B15:B22)+(-1*SUM(B23:B24))</f>
        <v>2986</v>
      </c>
      <c r="I25" s="28" t="s">
        <v>44</v>
      </c>
      <c r="J25" s="27">
        <f>J24-B29</f>
        <v>2.0214589821732574</v>
      </c>
      <c r="K25" s="10">
        <f>J25/B29</f>
        <v>5.4901113041098785E-2</v>
      </c>
    </row>
    <row r="26" spans="1:12" x14ac:dyDescent="0.3">
      <c r="A26" s="41" t="s">
        <v>20</v>
      </c>
      <c r="B26" s="5">
        <f>B12-B25</f>
        <v>17012.559034191887</v>
      </c>
      <c r="D26" s="5">
        <f>D12-B25</f>
        <v>15678.29657493173</v>
      </c>
    </row>
    <row r="27" spans="1:12" x14ac:dyDescent="0.3">
      <c r="A27" s="41" t="s">
        <v>56</v>
      </c>
      <c r="B27" s="9">
        <f>B26/B36</f>
        <v>19.420729491086629</v>
      </c>
      <c r="D27" s="9">
        <f>D26/B36</f>
        <v>17.897598829830741</v>
      </c>
      <c r="G27" s="32" t="s">
        <v>50</v>
      </c>
      <c r="H27" s="30"/>
      <c r="I27" s="30"/>
      <c r="J27" s="30"/>
      <c r="K27" s="30"/>
      <c r="L27" s="30"/>
    </row>
    <row r="28" spans="1:12" x14ac:dyDescent="0.3">
      <c r="A28" s="41" t="s">
        <v>57</v>
      </c>
      <c r="B28" s="27">
        <f>B27*2</f>
        <v>38.841458982173258</v>
      </c>
      <c r="C28" s="27"/>
      <c r="D28" s="27">
        <f t="shared" ref="C28:D28" si="1">D27*2</f>
        <v>35.795197659661483</v>
      </c>
      <c r="G28" s="26">
        <f>D12</f>
        <v>18664.29657493173</v>
      </c>
      <c r="H28" s="25">
        <f>I28-0.005</f>
        <v>4.797538814674393E-2</v>
      </c>
      <c r="I28" s="25">
        <f>J28-0.005</f>
        <v>5.2975388146743928E-2</v>
      </c>
      <c r="J28" s="25">
        <v>5.7975388146743925E-2</v>
      </c>
      <c r="K28" s="25">
        <f>J28+0.005</f>
        <v>6.297538814674393E-2</v>
      </c>
      <c r="L28" s="25">
        <f>K28+0.005</f>
        <v>6.7975388146743934E-2</v>
      </c>
    </row>
    <row r="29" spans="1:12" x14ac:dyDescent="0.3">
      <c r="A29" s="28" t="s">
        <v>21</v>
      </c>
      <c r="B29" s="47">
        <f>DCF!$I$9</f>
        <v>36.82</v>
      </c>
      <c r="D29" s="47">
        <f>DCF!$I$9</f>
        <v>36.82</v>
      </c>
      <c r="G29" s="51">
        <f>G30-1</f>
        <v>10.08</v>
      </c>
      <c r="H29" s="13">
        <f t="dataTable" ref="H29:L33" dt2D="1" dtr="1" r1="I4" r2="I13" ca="1"/>
        <v>16801.597649603467</v>
      </c>
      <c r="I29" s="13">
        <v>16435.025999863796</v>
      </c>
      <c r="J29" s="13">
        <v>16078.479161989722</v>
      </c>
      <c r="K29" s="13">
        <v>15731.634626740322</v>
      </c>
      <c r="L29" s="15">
        <v>15394.181751006807</v>
      </c>
    </row>
    <row r="30" spans="1:12" x14ac:dyDescent="0.3">
      <c r="A30" s="41" t="s">
        <v>22</v>
      </c>
      <c r="B30" s="9">
        <f>B28-B29</f>
        <v>2.0214589821732574</v>
      </c>
      <c r="C30" s="10">
        <f>B30/B29</f>
        <v>5.4901113041098785E-2</v>
      </c>
      <c r="D30" s="9">
        <f>D28-D29</f>
        <v>-1.0248023403385176</v>
      </c>
      <c r="E30" s="10">
        <f>D30/D29</f>
        <v>-2.7832763181382877E-2</v>
      </c>
      <c r="G30" s="51">
        <f>G31-1</f>
        <v>11.08</v>
      </c>
      <c r="H30" s="13">
        <v>18157.198131881374</v>
      </c>
      <c r="I30" s="22">
        <v>17758.745692613495</v>
      </c>
      <c r="J30" s="24">
        <v>17371.213567192612</v>
      </c>
      <c r="K30" s="17">
        <v>16994.250037204187</v>
      </c>
      <c r="L30" s="15">
        <v>16627.516334147633</v>
      </c>
    </row>
    <row r="31" spans="1:12" x14ac:dyDescent="0.3">
      <c r="G31" s="51">
        <v>12.08</v>
      </c>
      <c r="H31" s="13">
        <v>19512.798614159277</v>
      </c>
      <c r="I31" s="23">
        <v>19082.465385363193</v>
      </c>
      <c r="J31" s="12">
        <v>18663.947972395497</v>
      </c>
      <c r="K31" s="18">
        <v>18256.865447668049</v>
      </c>
      <c r="L31" s="15">
        <v>17860.850917288459</v>
      </c>
    </row>
    <row r="32" spans="1:12" x14ac:dyDescent="0.3">
      <c r="G32" s="51">
        <f>G31+1</f>
        <v>13.08</v>
      </c>
      <c r="H32" s="13">
        <v>20868.399096437184</v>
      </c>
      <c r="I32" s="20">
        <v>20406.185078112892</v>
      </c>
      <c r="J32" s="21">
        <v>19956.682377598383</v>
      </c>
      <c r="K32" s="19">
        <v>19519.480858131912</v>
      </c>
      <c r="L32" s="15">
        <v>19094.185500429281</v>
      </c>
    </row>
    <row r="33" spans="1:12" x14ac:dyDescent="0.3">
      <c r="G33" s="51">
        <f>G32+1</f>
        <v>14.08</v>
      </c>
      <c r="H33" s="14">
        <v>22223.999578715087</v>
      </c>
      <c r="I33" s="14">
        <v>21729.904770862591</v>
      </c>
      <c r="J33" s="14">
        <v>21249.416782801272</v>
      </c>
      <c r="K33" s="14">
        <v>20782.096268595775</v>
      </c>
      <c r="L33" s="16">
        <v>20327.520083570107</v>
      </c>
    </row>
    <row r="34" spans="1:12" x14ac:dyDescent="0.3">
      <c r="A34" s="28" t="s">
        <v>41</v>
      </c>
      <c r="B34" s="48">
        <f>'[1]Income Statement'!$F$24</f>
        <v>873</v>
      </c>
      <c r="I34" s="28" t="s">
        <v>24</v>
      </c>
      <c r="J34" s="3" t="s">
        <v>38</v>
      </c>
    </row>
    <row r="35" spans="1:12" x14ac:dyDescent="0.3">
      <c r="A35" s="28" t="s">
        <v>42</v>
      </c>
      <c r="B35" s="48">
        <v>3</v>
      </c>
      <c r="H35" s="28" t="s">
        <v>40</v>
      </c>
      <c r="I35" s="27">
        <f>IF(J34="Bull",I32,IF(J34="Bear",K30,IF(J34="Central",J31,"Error")))</f>
        <v>18663.947972395497</v>
      </c>
      <c r="K35" s="28" t="s">
        <v>39</v>
      </c>
      <c r="L35" s="27">
        <f>I35-B37</f>
        <v>18663.947972395497</v>
      </c>
    </row>
    <row r="36" spans="1:12" x14ac:dyDescent="0.3">
      <c r="A36" s="41" t="s">
        <v>43</v>
      </c>
      <c r="B36" s="3">
        <f>B34+B35</f>
        <v>876</v>
      </c>
      <c r="I36" s="28" t="s">
        <v>58</v>
      </c>
      <c r="J36" s="27">
        <f>L35/B36*2</f>
        <v>42.611753361633554</v>
      </c>
    </row>
    <row r="37" spans="1:12" x14ac:dyDescent="0.3">
      <c r="I37" s="28" t="s">
        <v>44</v>
      </c>
      <c r="J37" s="27">
        <f>J36-B29</f>
        <v>5.7917533616335533</v>
      </c>
      <c r="K37" s="10">
        <f>J37/B29</f>
        <v>0.15729911356962392</v>
      </c>
    </row>
  </sheetData>
  <dataValidations count="1">
    <dataValidation type="list" allowBlank="1" showInputMessage="1" showErrorMessage="1" sqref="J22 J34" xr:uid="{EAB0D90E-FD11-4473-987B-7DCF4EF16CCE}">
      <formula1>$O$2:$O$4</formula1>
    </dataValidation>
  </dataValidations>
  <pageMargins left="0.7" right="0.7" top="0.75" bottom="0.75" header="0.3" footer="0.3"/>
  <ignoredErrors>
    <ignoredError sqref="C30: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EAA58-ADB1-46F6-8416-C90E04EF858D}">
  <dimension ref="A1:AB36"/>
  <sheetViews>
    <sheetView showGridLines="0" tabSelected="1" topLeftCell="A20" workbookViewId="0">
      <pane xSplit="1" topLeftCell="B1" activePane="topRight" state="frozen"/>
      <selection pane="topRight" activeCell="N28" sqref="N28"/>
    </sheetView>
  </sheetViews>
  <sheetFormatPr defaultRowHeight="14.4" x14ac:dyDescent="0.3"/>
  <cols>
    <col min="1" max="1" width="30.5546875" style="54" bestFit="1" customWidth="1"/>
    <col min="2" max="2" width="8.88671875" style="54" customWidth="1"/>
    <col min="3" max="21" width="8.88671875" style="54"/>
    <col min="22" max="22" width="37.88671875" style="54" bestFit="1" customWidth="1"/>
    <col min="23" max="23" width="7.77734375" style="54" bestFit="1" customWidth="1"/>
    <col min="24" max="26" width="8.88671875" style="54"/>
    <col min="27" max="27" width="6.88671875" style="54" hidden="1" customWidth="1"/>
    <col min="28" max="16384" width="8.88671875" style="54"/>
  </cols>
  <sheetData>
    <row r="1" spans="1:28" customFormat="1" x14ac:dyDescent="0.3">
      <c r="A1" s="34"/>
      <c r="B1" s="34"/>
      <c r="C1" s="34" t="s">
        <v>51</v>
      </c>
      <c r="D1" s="34"/>
      <c r="E1" s="34"/>
      <c r="F1" s="34"/>
      <c r="G1" s="35"/>
      <c r="H1" s="34"/>
      <c r="I1" s="34" t="s">
        <v>52</v>
      </c>
      <c r="J1" s="34"/>
      <c r="K1" s="34"/>
      <c r="L1" s="34"/>
      <c r="M1" s="35"/>
      <c r="N1" s="34"/>
      <c r="O1" s="34" t="s">
        <v>53</v>
      </c>
      <c r="P1" s="34"/>
      <c r="Q1" s="34"/>
      <c r="R1" s="34"/>
      <c r="S1" s="35"/>
      <c r="T1" s="72" t="s">
        <v>61</v>
      </c>
      <c r="U1" s="60"/>
      <c r="V1" s="60"/>
      <c r="W1" s="60"/>
      <c r="X1" s="60"/>
      <c r="Y1" s="60"/>
    </row>
    <row r="2" spans="1:28" customFormat="1" x14ac:dyDescent="0.3">
      <c r="A2" s="37" t="s">
        <v>0</v>
      </c>
      <c r="B2" s="37">
        <v>2024</v>
      </c>
      <c r="C2" s="37">
        <v>2025</v>
      </c>
      <c r="D2" s="37">
        <v>2026</v>
      </c>
      <c r="E2" s="37">
        <v>2027</v>
      </c>
      <c r="F2" s="37">
        <v>2028</v>
      </c>
      <c r="G2" s="38">
        <v>2029</v>
      </c>
      <c r="H2" s="37">
        <v>2024</v>
      </c>
      <c r="I2" s="37">
        <v>2025</v>
      </c>
      <c r="J2" s="37">
        <v>2026</v>
      </c>
      <c r="K2" s="37">
        <v>2027</v>
      </c>
      <c r="L2" s="37">
        <v>2028</v>
      </c>
      <c r="M2" s="38">
        <v>2029</v>
      </c>
      <c r="N2" s="37">
        <v>2024</v>
      </c>
      <c r="O2" s="37">
        <v>2025</v>
      </c>
      <c r="P2" s="37">
        <v>2026</v>
      </c>
      <c r="Q2" s="37">
        <v>2027</v>
      </c>
      <c r="R2" s="37">
        <v>2028</v>
      </c>
      <c r="S2" s="38">
        <v>2029</v>
      </c>
      <c r="T2" s="71">
        <v>2024</v>
      </c>
      <c r="U2" s="60"/>
      <c r="V2" s="33" t="s">
        <v>1</v>
      </c>
      <c r="W2" s="46">
        <f>'[1]Balance Sheet'!$N$7</f>
        <v>0.10567499999999999</v>
      </c>
      <c r="X2" s="60"/>
      <c r="Y2" s="60"/>
      <c r="AA2" t="s">
        <v>37</v>
      </c>
    </row>
    <row r="3" spans="1:28" customFormat="1" x14ac:dyDescent="0.3">
      <c r="A3" s="43" t="s">
        <v>54</v>
      </c>
      <c r="B3" s="61">
        <f>'[1]Income Statement'!$F$43</f>
        <v>2305</v>
      </c>
      <c r="C3" s="45">
        <f>'[1]Income Statement'!G43</f>
        <v>2413.6991302341535</v>
      </c>
      <c r="D3" s="45">
        <f>'[1]Income Statement'!H43</f>
        <v>2527.5242912334529</v>
      </c>
      <c r="E3" s="45">
        <f>'[1]Income Statement'!I43</f>
        <v>2646.7172162238094</v>
      </c>
      <c r="F3" s="45">
        <f>'[1]Income Statement'!J43</f>
        <v>2771.5310380803335</v>
      </c>
      <c r="G3" s="49">
        <f>'[1]Income Statement'!K43</f>
        <v>2902.230826911697</v>
      </c>
      <c r="H3" s="57">
        <f>'[1]Income Statement'!$F$44</f>
        <v>1824</v>
      </c>
      <c r="I3" s="45">
        <f>'[1]Income Statement'!G44</f>
        <v>1972.7566005307594</v>
      </c>
      <c r="J3" s="45">
        <f>'[1]Income Statement'!H44</f>
        <v>2133.6450684965343</v>
      </c>
      <c r="K3" s="45">
        <f>'[1]Income Statement'!I44</f>
        <v>2307.6548202118656</v>
      </c>
      <c r="L3" s="45">
        <f>'[1]Income Statement'!J44</f>
        <v>2495.8559639909986</v>
      </c>
      <c r="M3" s="49">
        <f>'[1]Income Statement'!K44</f>
        <v>2699.405880996329</v>
      </c>
      <c r="N3" s="57">
        <f>'[1]Income Statement'!$F$45</f>
        <v>1681</v>
      </c>
      <c r="O3" s="45">
        <f>'[1]Income Statement'!G45</f>
        <v>1789.1296699937484</v>
      </c>
      <c r="P3" s="45">
        <f>'[1]Income Statement'!H45</f>
        <v>1904.2147388768226</v>
      </c>
      <c r="Q3" s="45">
        <f>'[1]Income Statement'!I45</f>
        <v>2026.7026099725886</v>
      </c>
      <c r="R3" s="45">
        <f>'[1]Income Statement'!J45</f>
        <v>2157.0694656488554</v>
      </c>
      <c r="S3" s="50">
        <f>'[1]Income Statement'!K45</f>
        <v>2295.8221185186958</v>
      </c>
      <c r="T3" s="73">
        <f>'[1]Income Statement'!F2</f>
        <v>5810</v>
      </c>
      <c r="U3" s="60"/>
      <c r="V3" s="33" t="s">
        <v>16</v>
      </c>
      <c r="W3" s="8">
        <v>4.1000000000000002E-2</v>
      </c>
      <c r="X3" s="60"/>
      <c r="Y3" s="60"/>
      <c r="AA3" t="s">
        <v>38</v>
      </c>
    </row>
    <row r="4" spans="1:28" s="3" customFormat="1" x14ac:dyDescent="0.3">
      <c r="A4" s="44" t="s">
        <v>3</v>
      </c>
      <c r="B4" s="70">
        <v>265</v>
      </c>
      <c r="C4" s="5">
        <f>C3*$B$5</f>
        <v>277.49686312887229</v>
      </c>
      <c r="D4" s="5">
        <f t="shared" ref="D4:G4" si="0">D3*$B$5</f>
        <v>290.58305300514752</v>
      </c>
      <c r="E4" s="5">
        <f t="shared" si="0"/>
        <v>304.28636108429913</v>
      </c>
      <c r="F4" s="5">
        <f t="shared" si="0"/>
        <v>318.63588941053723</v>
      </c>
      <c r="G4" s="40">
        <f t="shared" si="0"/>
        <v>333.66211242151832</v>
      </c>
      <c r="H4" s="70">
        <v>437</v>
      </c>
      <c r="I4" s="5">
        <f>I3*$H$5</f>
        <v>472.63960221049444</v>
      </c>
      <c r="J4" s="5">
        <f t="shared" ref="J4:M4" si="1">J3*$H$5</f>
        <v>511.18579766062805</v>
      </c>
      <c r="K4" s="5">
        <f t="shared" si="1"/>
        <v>552.87563400909278</v>
      </c>
      <c r="L4" s="5">
        <f t="shared" si="1"/>
        <v>597.96549137284342</v>
      </c>
      <c r="M4" s="40">
        <f t="shared" si="1"/>
        <v>646.73265898870386</v>
      </c>
      <c r="N4" s="70">
        <v>399</v>
      </c>
      <c r="O4" s="5">
        <f>O3*$N$5</f>
        <v>424.66551952855775</v>
      </c>
      <c r="P4" s="5">
        <f t="shared" ref="P4:S4" si="2">P3*$N$5</f>
        <v>451.98196360015004</v>
      </c>
      <c r="Q4" s="5">
        <f t="shared" si="2"/>
        <v>481.05552729272029</v>
      </c>
      <c r="R4" s="5">
        <f t="shared" si="2"/>
        <v>511.99923664122144</v>
      </c>
      <c r="S4" s="40">
        <f t="shared" si="2"/>
        <v>544.93338803626386</v>
      </c>
      <c r="T4" s="74">
        <f>'[1]Income Statement'!F8</f>
        <v>886</v>
      </c>
      <c r="U4" s="60"/>
      <c r="V4" s="33" t="s">
        <v>2</v>
      </c>
      <c r="W4" s="8">
        <f>(((W8/(W8+W6))*W7)+((W6/(W8+W6))*W5))*(1-W2)</f>
        <v>5.7975388146743925E-2</v>
      </c>
      <c r="X4" s="60"/>
      <c r="Y4" s="60"/>
      <c r="AA4" s="64" t="s">
        <v>23</v>
      </c>
    </row>
    <row r="5" spans="1:28" s="3" customFormat="1" x14ac:dyDescent="0.3">
      <c r="A5" s="62" t="s">
        <v>59</v>
      </c>
      <c r="B5" s="10">
        <f>B4/B3</f>
        <v>0.11496746203904555</v>
      </c>
      <c r="C5" s="5"/>
      <c r="D5" s="5"/>
      <c r="E5" s="5"/>
      <c r="F5" s="5"/>
      <c r="G5" s="40"/>
      <c r="H5" s="10">
        <f>H4/H3</f>
        <v>0.23958333333333334</v>
      </c>
      <c r="I5" s="5"/>
      <c r="J5" s="5"/>
      <c r="K5" s="5"/>
      <c r="L5" s="5"/>
      <c r="M5" s="40"/>
      <c r="N5" s="10">
        <f>N4/N3</f>
        <v>0.23735871505056513</v>
      </c>
      <c r="O5" s="5"/>
      <c r="P5" s="5"/>
      <c r="Q5" s="5"/>
      <c r="R5" s="5"/>
      <c r="S5" s="40"/>
      <c r="T5" s="60"/>
      <c r="U5" s="60"/>
      <c r="V5" s="33" t="s">
        <v>9</v>
      </c>
      <c r="W5" s="8">
        <f>0.056</f>
        <v>5.6000000000000001E-2</v>
      </c>
      <c r="X5" s="60"/>
      <c r="Y5" s="60"/>
    </row>
    <row r="6" spans="1:28" customFormat="1" x14ac:dyDescent="0.3">
      <c r="A6" s="44" t="s">
        <v>55</v>
      </c>
      <c r="B6" s="5">
        <f>B4*(1-$W$2)</f>
        <v>236.99612500000001</v>
      </c>
      <c r="C6" s="5">
        <f>C4*(1-$W$2)</f>
        <v>248.17238211772872</v>
      </c>
      <c r="D6" s="5">
        <f>D4*(1-$W$2)</f>
        <v>259.87568887882856</v>
      </c>
      <c r="E6" s="5">
        <f>E4*(1-$W$2)</f>
        <v>272.13089987671583</v>
      </c>
      <c r="F6" s="5">
        <f>F4*(1-$W$2)</f>
        <v>284.96404179707872</v>
      </c>
      <c r="G6" s="40">
        <f>G4*(1-$W$2)</f>
        <v>298.40236869137436</v>
      </c>
      <c r="H6" s="5">
        <f>H4*(1-$W$2)</f>
        <v>390.82002500000004</v>
      </c>
      <c r="I6" s="5">
        <f>I4*(1-$W$2)</f>
        <v>422.69341224690044</v>
      </c>
      <c r="J6" s="5">
        <f>J4*(1-$W$2)</f>
        <v>457.16623849284122</v>
      </c>
      <c r="K6" s="5">
        <f>K4*(1-$W$2)</f>
        <v>494.45050138518189</v>
      </c>
      <c r="L6" s="5">
        <f>L4*(1-$W$2)</f>
        <v>534.77548807201822</v>
      </c>
      <c r="M6" s="40">
        <f>M4*(1-$W$2)</f>
        <v>578.38918525007261</v>
      </c>
      <c r="N6" s="5">
        <f>N4*(1-$W$2)</f>
        <v>356.83567500000004</v>
      </c>
      <c r="O6" s="5">
        <f>O4*(1-$W$2)</f>
        <v>379.7889907523774</v>
      </c>
      <c r="P6" s="5">
        <f>P4*(1-$W$2)</f>
        <v>404.21876959670419</v>
      </c>
      <c r="Q6" s="5">
        <f>Q4*(1-$W$2)</f>
        <v>430.21998444606209</v>
      </c>
      <c r="R6" s="5">
        <f>R4*(1-$W$2)</f>
        <v>457.89371730916037</v>
      </c>
      <c r="S6" s="40">
        <f>S4*(1-$W$2)</f>
        <v>487.3475522555317</v>
      </c>
      <c r="T6" s="59"/>
      <c r="U6" s="59"/>
      <c r="V6" s="33" t="s">
        <v>10</v>
      </c>
      <c r="W6" s="2">
        <f>'[1]Balance Sheet'!$F$49</f>
        <v>2986</v>
      </c>
      <c r="X6" s="59"/>
      <c r="Y6" s="59"/>
    </row>
    <row r="7" spans="1:28" customFormat="1" x14ac:dyDescent="0.3">
      <c r="A7" s="44"/>
      <c r="B7" s="53"/>
      <c r="C7" s="5"/>
      <c r="D7" s="5"/>
      <c r="E7" s="5"/>
      <c r="F7" s="5"/>
      <c r="G7" s="40"/>
      <c r="H7" s="59"/>
      <c r="I7" s="5"/>
      <c r="J7" s="5"/>
      <c r="K7" s="5"/>
      <c r="L7" s="5"/>
      <c r="M7" s="40"/>
      <c r="N7" s="59"/>
      <c r="O7" s="5"/>
      <c r="P7" s="5"/>
      <c r="Q7" s="5"/>
      <c r="R7" s="5"/>
      <c r="S7" s="40"/>
      <c r="T7" s="59"/>
      <c r="V7" s="33" t="s">
        <v>11</v>
      </c>
      <c r="W7" s="8">
        <f>W3+(W10*W11)</f>
        <v>6.6460000000000005E-2</v>
      </c>
    </row>
    <row r="8" spans="1:28" customFormat="1" x14ac:dyDescent="0.3">
      <c r="A8" s="62" t="s">
        <v>4</v>
      </c>
      <c r="B8" s="63">
        <v>213</v>
      </c>
      <c r="C8" s="68">
        <f>$B$9*'[1]Income Statement'!G39</f>
        <v>224.90961461788868</v>
      </c>
      <c r="D8" s="68">
        <f>$B$9*'[1]Income Statement'!H39</f>
        <v>239.10575461472399</v>
      </c>
      <c r="E8" s="68">
        <f>$B$9*'[1]Income Statement'!I39</f>
        <v>254.24485396145781</v>
      </c>
      <c r="F8" s="68">
        <f>$B$9*'[1]Income Statement'!J39</f>
        <v>270.39244614722719</v>
      </c>
      <c r="G8" s="69">
        <f>$B$9*'[1]Income Statement'!K39</f>
        <v>287.61879333642975</v>
      </c>
      <c r="H8" s="67">
        <v>98</v>
      </c>
      <c r="I8" s="65">
        <f>$H$9*'[1]Income Statement'!G39</f>
        <v>103.47954099790184</v>
      </c>
      <c r="J8" s="65">
        <f>$H$9*'[1]Income Statement'!H39</f>
        <v>110.01109836733779</v>
      </c>
      <c r="K8" s="65">
        <f>$H$9*'[1]Income Statement'!I39</f>
        <v>116.97650557851111</v>
      </c>
      <c r="L8" s="65">
        <f>$H$9*'[1]Income Statement'!J39</f>
        <v>124.40591418980407</v>
      </c>
      <c r="M8" s="66">
        <f>$H$9*'[1]Income Statement'!K39</f>
        <v>132.33165139422587</v>
      </c>
      <c r="N8" s="67">
        <v>62</v>
      </c>
      <c r="O8" s="65">
        <f>$N$9*'[1]Income Statement'!G39</f>
        <v>65.466648386427678</v>
      </c>
      <c r="P8" s="65">
        <f>$N$9*'[1]Income Statement'!H39</f>
        <v>69.598858150764727</v>
      </c>
      <c r="Q8" s="65">
        <f>$N$9*'[1]Income Statement'!I39</f>
        <v>74.00554434558866</v>
      </c>
      <c r="R8" s="65">
        <f>$N$9*'[1]Income Statement'!J39</f>
        <v>78.705782446610726</v>
      </c>
      <c r="S8" s="66">
        <f>$N$9*'[1]Income Statement'!K39</f>
        <v>83.720024351449027</v>
      </c>
      <c r="T8" s="67"/>
      <c r="U8" s="67"/>
      <c r="V8" s="33" t="s">
        <v>12</v>
      </c>
      <c r="W8" s="7">
        <f>W9*('[1]Income Statement'!$F$25*'[1]Income Statement'!$N$8)</f>
        <v>16127.16</v>
      </c>
      <c r="X8" s="67"/>
      <c r="Y8" s="67"/>
    </row>
    <row r="9" spans="1:28" s="64" customFormat="1" x14ac:dyDescent="0.3">
      <c r="A9" s="62" t="s">
        <v>60</v>
      </c>
      <c r="B9" s="10">
        <f>B8/'[1]Income Statement'!F39</f>
        <v>0.47438752783964366</v>
      </c>
      <c r="C9" s="10"/>
      <c r="D9" s="65"/>
      <c r="E9" s="65"/>
      <c r="F9" s="65"/>
      <c r="G9" s="66"/>
      <c r="H9" s="10">
        <f>H8/'[1]Income Statement'!F39</f>
        <v>0.21826280623608019</v>
      </c>
      <c r="I9" s="65"/>
      <c r="J9" s="65"/>
      <c r="K9" s="65"/>
      <c r="L9" s="65"/>
      <c r="M9" s="66"/>
      <c r="N9" s="10">
        <f>N8/'[1]Income Statement'!F39</f>
        <v>0.13808463251670378</v>
      </c>
      <c r="O9" s="65"/>
      <c r="P9" s="65"/>
      <c r="Q9" s="65"/>
      <c r="R9" s="65"/>
      <c r="S9" s="66"/>
      <c r="T9" s="67"/>
      <c r="V9" s="33" t="s">
        <v>13</v>
      </c>
      <c r="W9" s="2">
        <v>36.82</v>
      </c>
    </row>
    <row r="10" spans="1:28" customFormat="1" x14ac:dyDescent="0.3">
      <c r="A10" s="44"/>
      <c r="B10" s="53"/>
      <c r="C10" s="5"/>
      <c r="D10" s="5"/>
      <c r="E10" s="5"/>
      <c r="F10" s="5"/>
      <c r="G10" s="40"/>
      <c r="H10" s="59"/>
      <c r="I10" s="5"/>
      <c r="J10" s="5"/>
      <c r="K10" s="5"/>
      <c r="L10" s="5"/>
      <c r="M10" s="40"/>
      <c r="N10" s="59"/>
      <c r="O10" s="5"/>
      <c r="P10" s="5"/>
      <c r="Q10" s="5"/>
      <c r="R10" s="5"/>
      <c r="S10" s="40"/>
      <c r="T10" s="59"/>
      <c r="V10" s="33" t="s">
        <v>14</v>
      </c>
      <c r="W10" s="2">
        <v>0.67</v>
      </c>
    </row>
    <row r="11" spans="1:28" customFormat="1" x14ac:dyDescent="0.3">
      <c r="A11" s="62" t="s">
        <v>5</v>
      </c>
      <c r="B11" s="1">
        <f>'[1]Balance Sheet'!F53*$B$13</f>
        <v>-165.05415162454872</v>
      </c>
      <c r="C11" s="1">
        <f>'[1]Balance Sheet'!G53*$B$13</f>
        <v>-206.86054987391296</v>
      </c>
      <c r="D11" s="1">
        <f>'[1]Balance Sheet'!H53*$B$13</f>
        <v>-219.91744533310253</v>
      </c>
      <c r="E11" s="1">
        <f>'[1]Balance Sheet'!I53*$B$13</f>
        <v>-233.84162736854699</v>
      </c>
      <c r="F11" s="1">
        <f>'[1]Balance Sheet'!J53*$B$13</f>
        <v>-248.69337038701681</v>
      </c>
      <c r="G11" s="39">
        <f>'[1]Balance Sheet'!K53*$B$13</f>
        <v>-264.53729799291983</v>
      </c>
      <c r="H11" s="1">
        <f>'[1]Balance Sheet'!F53*$H$13</f>
        <v>-112.2206413251221</v>
      </c>
      <c r="I11" s="1">
        <f>'[1]Balance Sheet'!G53*$H$13</f>
        <v>-140.64489346819474</v>
      </c>
      <c r="J11" s="1">
        <f>'[1]Balance Sheet'!H53*$H$13</f>
        <v>-149.52230229265354</v>
      </c>
      <c r="K11" s="1">
        <f>'[1]Balance Sheet'!I53*$H$13</f>
        <v>-158.98938096086994</v>
      </c>
      <c r="L11" s="1">
        <f>'[1]Balance Sheet'!J53*$H$13</f>
        <v>-169.08711016019231</v>
      </c>
      <c r="M11" s="39">
        <f>'[1]Balance Sheet'!K53*$H$13</f>
        <v>-179.85942760597047</v>
      </c>
      <c r="N11" s="1">
        <f>'[1]Balance Sheet'!F53*$N$13</f>
        <v>-103.72520705032916</v>
      </c>
      <c r="O11" s="1">
        <f>'[1]Balance Sheet'!G53*$N$13</f>
        <v>-129.99765928350806</v>
      </c>
      <c r="P11" s="1">
        <f>'[1]Balance Sheet'!H53*$N$13</f>
        <v>-138.20302201815562</v>
      </c>
      <c r="Q11" s="1">
        <f>'[1]Balance Sheet'!I53*$N$13</f>
        <v>-146.9534148463124</v>
      </c>
      <c r="R11" s="1">
        <f>'[1]Balance Sheet'!J53*$N$13</f>
        <v>-156.28671609615469</v>
      </c>
      <c r="S11" s="39">
        <f>'[1]Balance Sheet'!K53*$N$13</f>
        <v>-166.24353726809963</v>
      </c>
      <c r="T11" s="67"/>
      <c r="V11" s="33" t="s">
        <v>15</v>
      </c>
      <c r="W11" s="8">
        <v>3.7999999999999999E-2</v>
      </c>
    </row>
    <row r="12" spans="1:28" s="64" customFormat="1" x14ac:dyDescent="0.3">
      <c r="A12" s="62" t="s">
        <v>6</v>
      </c>
      <c r="B12" s="1">
        <f>DCF!B6*$B$13</f>
        <v>-64.703158750699558</v>
      </c>
      <c r="C12" s="1">
        <f>DCF!B6*$B$13</f>
        <v>-64.703158750699558</v>
      </c>
      <c r="D12" s="1">
        <f>DCF!C6*$B$13</f>
        <v>-64.703158750699558</v>
      </c>
      <c r="E12" s="1">
        <f>DCF!D6*$B$13</f>
        <v>-64.703158750699558</v>
      </c>
      <c r="F12" s="1">
        <f>DCF!E6*$B$13</f>
        <v>-64.703158750699558</v>
      </c>
      <c r="G12" s="39">
        <f>DCF!F6*$B$13</f>
        <v>-64.703158750699558</v>
      </c>
      <c r="H12" s="1">
        <f>DCF!B6*$H$13</f>
        <v>-43.991804503539356</v>
      </c>
      <c r="I12" s="1">
        <f>DCF!B6*$H$13</f>
        <v>-43.991804503539356</v>
      </c>
      <c r="J12" s="1">
        <f>DCF!C6*$H$13</f>
        <v>-43.991804503539356</v>
      </c>
      <c r="K12" s="1">
        <f>DCF!D6*$H$13</f>
        <v>-43.991804503539356</v>
      </c>
      <c r="L12" s="1">
        <f>DCF!E6*$H$13</f>
        <v>-43.991804503539356</v>
      </c>
      <c r="M12" s="39">
        <f>DCF!F6*$H$13</f>
        <v>-43.991804503539356</v>
      </c>
      <c r="N12" s="1">
        <f>DCF!B6*$N$13</f>
        <v>-40.661494861959234</v>
      </c>
      <c r="O12" s="1">
        <f>DCF!B6*$N$13</f>
        <v>-40.661494861959234</v>
      </c>
      <c r="P12" s="1">
        <f>DCF!C6*$N$13</f>
        <v>-40.661494861959234</v>
      </c>
      <c r="Q12" s="1">
        <f>DCF!D6*$N$13</f>
        <v>-40.661494861959234</v>
      </c>
      <c r="R12" s="1">
        <f>DCF!E6*$N$13</f>
        <v>-40.661494861959234</v>
      </c>
      <c r="S12" s="39">
        <f>DCF!F6*$N$13</f>
        <v>-40.661494861959234</v>
      </c>
      <c r="T12" s="67"/>
      <c r="V12" s="33" t="s">
        <v>17</v>
      </c>
      <c r="W12" s="8">
        <v>0.02</v>
      </c>
    </row>
    <row r="13" spans="1:28" s="64" customFormat="1" x14ac:dyDescent="0.3">
      <c r="A13" s="62" t="s">
        <v>62</v>
      </c>
      <c r="B13" s="10">
        <f>(B3-B4)/((B3-B4)+(H3-H4)+(N3-N4))</f>
        <v>0.43321299638989169</v>
      </c>
      <c r="C13" s="65"/>
      <c r="D13" s="65"/>
      <c r="E13" s="65"/>
      <c r="F13" s="65"/>
      <c r="G13" s="66"/>
      <c r="H13" s="10">
        <f>(H3-H4)/((B3-B4)+(H3-H4)+(N3-N4))</f>
        <v>0.29454236568273517</v>
      </c>
      <c r="I13" s="65"/>
      <c r="J13" s="65"/>
      <c r="K13" s="65"/>
      <c r="L13" s="65"/>
      <c r="M13" s="66"/>
      <c r="N13" s="10">
        <f>(N3-N4)/((B3-B4)+(H3-H4)+(N3-N4))</f>
        <v>0.27224463792737313</v>
      </c>
      <c r="O13" s="65"/>
      <c r="P13" s="65"/>
      <c r="Q13" s="65"/>
      <c r="R13" s="65"/>
      <c r="S13" s="66"/>
      <c r="T13" s="67"/>
      <c r="V13" s="33" t="s">
        <v>49</v>
      </c>
      <c r="W13" s="31">
        <f>W8/'[1]Income Statement'!$F$40</f>
        <v>12.080269662921348</v>
      </c>
    </row>
    <row r="14" spans="1:28" s="64" customFormat="1" x14ac:dyDescent="0.3">
      <c r="A14" s="62"/>
      <c r="B14" s="10"/>
      <c r="C14" s="65"/>
      <c r="D14" s="65"/>
      <c r="E14" s="65"/>
      <c r="F14" s="65"/>
      <c r="G14" s="66"/>
      <c r="H14" s="10"/>
      <c r="I14" s="65"/>
      <c r="J14" s="65"/>
      <c r="K14" s="65"/>
      <c r="L14" s="65"/>
      <c r="M14" s="66"/>
      <c r="N14" s="10"/>
      <c r="O14" s="65"/>
      <c r="P14" s="65"/>
      <c r="Q14" s="65"/>
      <c r="R14" s="65"/>
      <c r="S14" s="66"/>
      <c r="T14" s="67"/>
      <c r="U14"/>
      <c r="AA14"/>
      <c r="AB14"/>
    </row>
    <row r="15" spans="1:28" s="3" customFormat="1" x14ac:dyDescent="0.3">
      <c r="A15" s="44" t="s">
        <v>7</v>
      </c>
      <c r="B15" s="5"/>
      <c r="C15" s="5">
        <f t="shared" ref="C15:S15" si="3">SUM(C12,C11,C8,C6)</f>
        <v>201.51828811100489</v>
      </c>
      <c r="D15" s="5">
        <f t="shared" si="3"/>
        <v>214.36083940975044</v>
      </c>
      <c r="E15" s="5">
        <f t="shared" si="3"/>
        <v>227.83096771892707</v>
      </c>
      <c r="F15" s="5">
        <f t="shared" si="3"/>
        <v>241.95995880658955</v>
      </c>
      <c r="G15" s="40">
        <f t="shared" si="3"/>
        <v>256.78070528418471</v>
      </c>
      <c r="H15" s="5"/>
      <c r="I15" s="5">
        <f t="shared" si="3"/>
        <v>341.53625527306815</v>
      </c>
      <c r="J15" s="5">
        <f t="shared" si="3"/>
        <v>373.66323006398613</v>
      </c>
      <c r="K15" s="5">
        <f t="shared" si="3"/>
        <v>408.44582149928374</v>
      </c>
      <c r="L15" s="5">
        <f t="shared" si="3"/>
        <v>446.10248759809065</v>
      </c>
      <c r="M15" s="40">
        <f t="shared" si="3"/>
        <v>486.86960453478866</v>
      </c>
      <c r="N15" s="5"/>
      <c r="O15" s="5">
        <f t="shared" si="3"/>
        <v>274.59648499333781</v>
      </c>
      <c r="P15" s="5">
        <f t="shared" si="3"/>
        <v>294.9531108673541</v>
      </c>
      <c r="Q15" s="5">
        <f t="shared" si="3"/>
        <v>316.61061908337911</v>
      </c>
      <c r="R15" s="5">
        <f t="shared" si="3"/>
        <v>339.65128879765717</v>
      </c>
      <c r="S15" s="40">
        <f t="shared" si="3"/>
        <v>364.16254447692188</v>
      </c>
      <c r="T15" s="59"/>
      <c r="U15"/>
      <c r="V15" s="64"/>
      <c r="AA15"/>
    </row>
    <row r="16" spans="1:28" s="64" customFormat="1" x14ac:dyDescent="0.3">
      <c r="A16" s="75" t="s">
        <v>63</v>
      </c>
      <c r="B16" s="76"/>
      <c r="C16" s="76">
        <f>C15/((1+$W$4)^(C2-2024))</f>
        <v>190.47540270667787</v>
      </c>
      <c r="D16" s="76">
        <f>D15/((1+$W$4)^(D2-2024))</f>
        <v>191.51126259893149</v>
      </c>
      <c r="E16" s="76">
        <f>E15/((1+$W$4)^(E2-2024))</f>
        <v>192.39157969931165</v>
      </c>
      <c r="F16" s="76">
        <f>F15/((1+$W$4)^(F2-2024))</f>
        <v>193.12622116425743</v>
      </c>
      <c r="G16" s="77">
        <f>G15/((1+$W$4)^(G2-2024))</f>
        <v>193.72450666737925</v>
      </c>
      <c r="H16" s="76"/>
      <c r="I16" s="76">
        <f>I15/((1+$W$4)^(I2-2024))</f>
        <v>322.82060537470289</v>
      </c>
      <c r="J16" s="76">
        <f>J15/((1+$W$4)^(J2-2024))</f>
        <v>333.83297608552834</v>
      </c>
      <c r="K16" s="76">
        <f>K15/((1+$W$4)^(K2-2024))</f>
        <v>344.91157021628231</v>
      </c>
      <c r="L16" s="76">
        <f>L15/((1+$W$4)^(L2-2024))</f>
        <v>356.06754153343797</v>
      </c>
      <c r="M16" s="77">
        <f>M15/((1+$W$4)^(M2-2024))</f>
        <v>367.3117645091736</v>
      </c>
      <c r="N16" s="76"/>
      <c r="O16" s="76">
        <f>O15/((1+$W$4)^(O2-2024))</f>
        <v>259.54902927784417</v>
      </c>
      <c r="P16" s="76">
        <f>P15/((1+$W$4)^(P2-2024))</f>
        <v>263.51288241466108</v>
      </c>
      <c r="Q16" s="76">
        <f>Q15/((1+$W$4)^(Q2-2024))</f>
        <v>267.36144679934995</v>
      </c>
      <c r="R16" s="76">
        <f>R15/((1+$W$4)^(R2-2024))</f>
        <v>271.10093026381759</v>
      </c>
      <c r="S16" s="77">
        <f>S15/((1+$W$4)^(S2-2024))</f>
        <v>274.73718945297367</v>
      </c>
      <c r="T16" s="67"/>
      <c r="U16"/>
      <c r="AA16"/>
      <c r="AB16"/>
    </row>
    <row r="17" spans="1:22" customFormat="1" x14ac:dyDescent="0.3">
      <c r="A17" s="36"/>
      <c r="B17" s="55"/>
      <c r="C17" s="1"/>
      <c r="D17" s="1"/>
      <c r="E17" s="1"/>
      <c r="F17" s="1"/>
      <c r="G17" s="39"/>
      <c r="H17" s="58"/>
      <c r="I17" s="1"/>
      <c r="J17" s="1"/>
      <c r="K17" s="1"/>
      <c r="L17" s="1"/>
      <c r="M17" s="39"/>
      <c r="N17" s="58"/>
      <c r="O17" s="1"/>
      <c r="P17" s="1"/>
      <c r="Q17" s="1"/>
      <c r="R17" s="1"/>
      <c r="S17" s="39"/>
      <c r="T17" s="58"/>
      <c r="V17" s="64"/>
    </row>
    <row r="18" spans="1:22" customFormat="1" x14ac:dyDescent="0.3">
      <c r="A18" s="62" t="s">
        <v>45</v>
      </c>
      <c r="B18" s="5">
        <f>((G16*(1+$W$12))/($W$4-$W$12))/((1+$W$4)^5)</f>
        <v>3925.587753420532</v>
      </c>
      <c r="C18" s="1"/>
      <c r="D18" s="1"/>
      <c r="E18" s="1"/>
      <c r="F18" s="1"/>
      <c r="G18" s="39"/>
      <c r="H18" s="5">
        <f>((M16*(1+$W$12))/($W$4-$W$12))/((1+$W$4)^5)</f>
        <v>7443.119041826928</v>
      </c>
      <c r="I18" s="1"/>
      <c r="J18" s="1"/>
      <c r="K18" s="1"/>
      <c r="L18" s="1"/>
      <c r="M18" s="39"/>
      <c r="N18" s="5">
        <f>((S16*(1+$W$12))/($W$4-$W$12))/((1+$W$4)^5)</f>
        <v>5567.2096673733668</v>
      </c>
      <c r="O18" s="1"/>
      <c r="P18" s="1"/>
      <c r="Q18" s="1"/>
      <c r="R18" s="1"/>
      <c r="S18" s="39"/>
      <c r="T18" s="58"/>
      <c r="V18" s="64"/>
    </row>
    <row r="19" spans="1:22" customFormat="1" x14ac:dyDescent="0.3">
      <c r="A19" s="28" t="s">
        <v>64</v>
      </c>
      <c r="B19" s="78">
        <f>B18+SUM(C16:G16)</f>
        <v>4886.8167262570896</v>
      </c>
      <c r="C19" s="1"/>
      <c r="D19" s="1"/>
      <c r="E19" s="1"/>
      <c r="F19" s="1"/>
      <c r="G19" s="39"/>
      <c r="H19" s="78">
        <f>H18+SUM(I16:M16)</f>
        <v>9168.0634995460532</v>
      </c>
      <c r="I19" s="1"/>
      <c r="J19" s="1"/>
      <c r="K19" s="1"/>
      <c r="L19" s="1"/>
      <c r="M19" s="39"/>
      <c r="N19" s="78">
        <f>N18+SUM(O16:S16)</f>
        <v>6903.4711455820134</v>
      </c>
      <c r="O19" s="1"/>
      <c r="P19" s="1"/>
      <c r="Q19" s="1"/>
      <c r="R19" s="1"/>
      <c r="S19" s="39"/>
      <c r="T19" s="58"/>
      <c r="V19" s="64"/>
    </row>
    <row r="20" spans="1:22" customFormat="1" x14ac:dyDescent="0.3">
      <c r="A20" s="28"/>
      <c r="B20" s="28"/>
      <c r="C20" s="1"/>
      <c r="D20" s="1"/>
      <c r="E20" s="1"/>
      <c r="F20" s="1"/>
      <c r="G20" s="39"/>
      <c r="H20" s="58"/>
      <c r="I20" s="1"/>
      <c r="J20" s="1"/>
      <c r="K20" s="1"/>
      <c r="L20" s="1"/>
      <c r="M20" s="39"/>
      <c r="N20" s="58"/>
      <c r="O20" s="1"/>
      <c r="P20" s="1"/>
      <c r="Q20" s="1"/>
      <c r="R20" s="1"/>
      <c r="S20" s="39"/>
      <c r="T20" s="58"/>
    </row>
    <row r="21" spans="1:22" customFormat="1" x14ac:dyDescent="0.3">
      <c r="A21" s="54"/>
      <c r="B21" s="54"/>
      <c r="C21" s="1"/>
      <c r="D21" s="1"/>
      <c r="E21" s="1"/>
      <c r="F21" s="1"/>
      <c r="G21" s="39"/>
      <c r="H21" s="58"/>
      <c r="I21" s="1"/>
      <c r="J21" s="1"/>
      <c r="K21" s="1"/>
      <c r="L21" s="1"/>
      <c r="M21" s="39"/>
      <c r="N21" s="58"/>
      <c r="O21" s="1"/>
      <c r="P21" s="1"/>
      <c r="Q21" s="1"/>
      <c r="R21" s="1"/>
      <c r="S21" s="39"/>
      <c r="T21" s="58"/>
    </row>
    <row r="22" spans="1:22" customFormat="1" x14ac:dyDescent="0.3">
      <c r="A22" s="28"/>
      <c r="B22" s="26">
        <f>B19</f>
        <v>4886.8167262570896</v>
      </c>
      <c r="C22" s="25">
        <f>D22-0.005</f>
        <v>4.797538814674393E-2</v>
      </c>
      <c r="D22" s="25">
        <f>E22-0.005</f>
        <v>5.2975388146743928E-2</v>
      </c>
      <c r="E22" s="25">
        <v>5.7975388146743925E-2</v>
      </c>
      <c r="F22" s="25">
        <f>E22+0.005</f>
        <v>6.297538814674393E-2</v>
      </c>
      <c r="G22" s="25">
        <f>F22+0.005</f>
        <v>6.7975388146743934E-2</v>
      </c>
      <c r="H22" s="26">
        <f>H19</f>
        <v>9168.0634995460532</v>
      </c>
      <c r="I22" s="25">
        <f>J22-0.005</f>
        <v>4.797538814674393E-2</v>
      </c>
      <c r="J22" s="25">
        <f>K22-0.005</f>
        <v>5.2975388146743928E-2</v>
      </c>
      <c r="K22" s="25">
        <v>5.7975388146743925E-2</v>
      </c>
      <c r="L22" s="25">
        <f>K22+0.005</f>
        <v>6.297538814674393E-2</v>
      </c>
      <c r="M22" s="25">
        <f>L22+0.005</f>
        <v>6.7975388146743934E-2</v>
      </c>
      <c r="N22" s="26">
        <f>N19</f>
        <v>6903.4711455820134</v>
      </c>
      <c r="O22" s="25">
        <f>P22-0.005</f>
        <v>4.797538814674393E-2</v>
      </c>
      <c r="P22" s="25">
        <f>Q22-0.005</f>
        <v>5.2975388146743928E-2</v>
      </c>
      <c r="Q22" s="25">
        <v>5.7975388146743925E-2</v>
      </c>
      <c r="R22" s="25">
        <f>Q22+0.005</f>
        <v>6.297538814674393E-2</v>
      </c>
      <c r="S22" s="25">
        <f>R22+0.005</f>
        <v>6.7975388146743934E-2</v>
      </c>
      <c r="T22" s="58"/>
    </row>
    <row r="23" spans="1:22" x14ac:dyDescent="0.3">
      <c r="A23" s="52"/>
      <c r="B23" s="25">
        <f>B24-0.005</f>
        <v>9.9999999999999985E-3</v>
      </c>
      <c r="C23" s="13">
        <f t="dataTable" ref="C23:G27" dt2D="1" dtr="1" r1="W4" r2="W12" ca="1"/>
        <v>5263.5337170491621</v>
      </c>
      <c r="D23" s="13">
        <v>4576.534153373429</v>
      </c>
      <c r="E23" s="13">
        <v>4038.1022966208466</v>
      </c>
      <c r="F23" s="13">
        <v>3605.8497866265707</v>
      </c>
      <c r="G23" s="15">
        <v>3252.0302431630239</v>
      </c>
      <c r="H23" s="25">
        <f>H24-0.005</f>
        <v>9.9999999999999985E-3</v>
      </c>
      <c r="I23" s="13">
        <f t="dataTable" ref="I23:M27" dt2D="1" dtr="1" r1="W4" r2="W12"/>
        <v>9880.4455126833091</v>
      </c>
      <c r="J23" s="13">
        <v>8578.8129624867179</v>
      </c>
      <c r="K23" s="13">
        <v>7558.8566930507823</v>
      </c>
      <c r="L23" s="13">
        <v>6740.2065210509136</v>
      </c>
      <c r="M23" s="15">
        <v>6070.2542104668173</v>
      </c>
      <c r="N23" s="25">
        <f>N24-0.005</f>
        <v>9.9999999999999985E-3</v>
      </c>
      <c r="O23" s="13">
        <f t="dataTable" ref="O23:S27" dt2D="1" dtr="1" r1="W4" r2="W12" ca="1"/>
        <v>7437.2030569098843</v>
      </c>
      <c r="P23" s="13">
        <v>6463.1740032007383</v>
      </c>
      <c r="Q23" s="13">
        <v>5699.8370723421285</v>
      </c>
      <c r="R23" s="13">
        <v>5087.0778264244991</v>
      </c>
      <c r="S23" s="15">
        <v>4585.5468610883636</v>
      </c>
      <c r="T23" s="58"/>
    </row>
    <row r="24" spans="1:22" x14ac:dyDescent="0.3">
      <c r="B24" s="25">
        <f>B25-0.005</f>
        <v>1.4999999999999999E-2</v>
      </c>
      <c r="C24" s="13">
        <v>5936.01546931757</v>
      </c>
      <c r="D24" s="22">
        <v>5070.8976325053663</v>
      </c>
      <c r="E24" s="24">
        <v>4413.0873901949299</v>
      </c>
      <c r="F24" s="17">
        <v>3897.4117494514321</v>
      </c>
      <c r="G24" s="15">
        <v>3483.3237177024107</v>
      </c>
      <c r="H24" s="25">
        <f>H25-0.005</f>
        <v>1.4999999999999999E-2</v>
      </c>
      <c r="I24" s="13">
        <v>11155.505974961536</v>
      </c>
      <c r="J24" s="22">
        <v>9516.1518926646331</v>
      </c>
      <c r="K24" s="24">
        <v>8269.8479803938171</v>
      </c>
      <c r="L24" s="17">
        <v>7293.023203210988</v>
      </c>
      <c r="M24" s="15">
        <v>6508.7986967273428</v>
      </c>
      <c r="N24" s="25">
        <f>N25-0.005</f>
        <v>1.4999999999999999E-2</v>
      </c>
      <c r="O24" s="13">
        <v>8390.9065906287997</v>
      </c>
      <c r="P24" s="22">
        <v>7164.2728737638836</v>
      </c>
      <c r="Q24" s="24">
        <v>6231.6353072045413</v>
      </c>
      <c r="R24" s="17">
        <v>5500.5666286204441</v>
      </c>
      <c r="S24" s="15">
        <v>4913.563797236091</v>
      </c>
      <c r="T24" s="58"/>
    </row>
    <row r="25" spans="1:22" x14ac:dyDescent="0.3">
      <c r="B25" s="25">
        <v>0.02</v>
      </c>
      <c r="C25" s="13">
        <v>6848.8805716724655</v>
      </c>
      <c r="D25" s="23">
        <v>5715.1800381202811</v>
      </c>
      <c r="E25" s="12">
        <v>4886.8167262570896</v>
      </c>
      <c r="F25" s="18">
        <v>4256.817651656037</v>
      </c>
      <c r="G25" s="15">
        <v>3762.8280527421698</v>
      </c>
      <c r="H25" s="25">
        <v>0.02</v>
      </c>
      <c r="I25" s="13">
        <v>12886.345801440162</v>
      </c>
      <c r="J25" s="23">
        <v>10737.744923508979</v>
      </c>
      <c r="K25" s="12">
        <v>9168.0634995460532</v>
      </c>
      <c r="L25" s="18">
        <v>7974.475531493079</v>
      </c>
      <c r="M25" s="15">
        <v>7038.7534879799077</v>
      </c>
      <c r="N25" s="25">
        <v>0.02</v>
      </c>
      <c r="O25" s="13">
        <v>9685.5181856465642</v>
      </c>
      <c r="P25" s="23">
        <v>8077.9845170541266</v>
      </c>
      <c r="Q25" s="12">
        <v>6903.4711455820134</v>
      </c>
      <c r="R25" s="18">
        <v>6010.2706879733569</v>
      </c>
      <c r="S25" s="15">
        <v>5309.9526525738038</v>
      </c>
      <c r="T25" s="58"/>
    </row>
    <row r="26" spans="1:22" x14ac:dyDescent="0.3">
      <c r="B26" s="25">
        <f>B25+0.005</f>
        <v>2.5000000000000001E-2</v>
      </c>
      <c r="C26" s="13">
        <v>8159.0687122822173</v>
      </c>
      <c r="D26" s="20">
        <v>6589.7657382722937</v>
      </c>
      <c r="E26" s="21">
        <v>5504.2075512921783</v>
      </c>
      <c r="F26" s="19">
        <v>4710.8653520736816</v>
      </c>
      <c r="G26" s="15">
        <v>4107.3706217788749</v>
      </c>
      <c r="H26" s="25">
        <f>H25+0.005</f>
        <v>2.5000000000000001E-2</v>
      </c>
      <c r="I26" s="13">
        <v>15370.530822970002</v>
      </c>
      <c r="J26" s="20">
        <v>12396.005007706268</v>
      </c>
      <c r="K26" s="21">
        <v>10338.668691612849</v>
      </c>
      <c r="L26" s="19">
        <v>8835.3736433571103</v>
      </c>
      <c r="M26" s="15">
        <v>7692.0241616726671</v>
      </c>
      <c r="N26" s="25">
        <f>N25+0.005</f>
        <v>2.5000000000000001E-2</v>
      </c>
      <c r="O26" s="13">
        <v>11543.607353599795</v>
      </c>
      <c r="P26" s="20">
        <v>9318.3088380657282</v>
      </c>
      <c r="Q26" s="21">
        <v>7779.0455526725273</v>
      </c>
      <c r="R26" s="19">
        <v>6654.1943259078798</v>
      </c>
      <c r="S26" s="15">
        <v>5798.5777557806932</v>
      </c>
      <c r="T26" s="58"/>
    </row>
    <row r="27" spans="1:22" x14ac:dyDescent="0.3">
      <c r="B27" s="25">
        <f>B26+0.005</f>
        <v>3.0000000000000002E-2</v>
      </c>
      <c r="C27" s="14">
        <v>10198.135767724796</v>
      </c>
      <c r="D27" s="14">
        <v>7845.0134296672959</v>
      </c>
      <c r="E27" s="14">
        <v>6342.2890855308679</v>
      </c>
      <c r="F27" s="14">
        <v>5302.6059579992425</v>
      </c>
      <c r="G27" s="16">
        <v>4542.6410505823678</v>
      </c>
      <c r="H27" s="25">
        <f>H26+0.005</f>
        <v>3.0000000000000002E-2</v>
      </c>
      <c r="I27" s="14">
        <v>19236.708267278118</v>
      </c>
      <c r="J27" s="14">
        <v>14776.020073193089</v>
      </c>
      <c r="K27" s="14">
        <v>11927.714974086126</v>
      </c>
      <c r="L27" s="14">
        <v>9957.3446827126845</v>
      </c>
      <c r="M27" s="16">
        <v>8517.3195875992678</v>
      </c>
      <c r="N27" s="25">
        <f>N26+0.005</f>
        <v>3.0000000000000002E-2</v>
      </c>
      <c r="O27" s="14">
        <v>14435.38166525314</v>
      </c>
      <c r="P27" s="14">
        <v>11098.482285059294</v>
      </c>
      <c r="Q27" s="14">
        <v>8967.6002131549576</v>
      </c>
      <c r="R27" s="14">
        <v>7493.3919770151942</v>
      </c>
      <c r="S27" s="16">
        <v>6415.8717487745016</v>
      </c>
      <c r="T27" s="58"/>
    </row>
    <row r="28" spans="1:22" x14ac:dyDescent="0.3">
      <c r="A28" s="30" t="s">
        <v>24</v>
      </c>
      <c r="B28" s="83" t="s">
        <v>38</v>
      </c>
      <c r="C28" s="84"/>
      <c r="D28" s="84"/>
      <c r="E28" s="84"/>
      <c r="F28" s="30"/>
      <c r="G28" s="30"/>
      <c r="H28" s="83" t="s">
        <v>38</v>
      </c>
      <c r="I28" s="30"/>
      <c r="J28" s="30"/>
      <c r="K28" s="84"/>
      <c r="L28" s="30"/>
      <c r="M28" s="30"/>
      <c r="N28" s="83" t="s">
        <v>38</v>
      </c>
      <c r="O28" s="30"/>
      <c r="P28" s="30"/>
      <c r="Q28" s="84"/>
      <c r="R28" s="30"/>
      <c r="S28" s="30"/>
      <c r="T28" s="58"/>
    </row>
    <row r="29" spans="1:22" x14ac:dyDescent="0.3">
      <c r="A29" s="30" t="s">
        <v>40</v>
      </c>
      <c r="B29" s="85">
        <f>IF(B28="Bull",D26,IF(B28="Bear",F24,IF(B28="Central",E25,"Error")))</f>
        <v>4886.8167262570896</v>
      </c>
      <c r="C29" s="84"/>
      <c r="D29" s="84"/>
      <c r="E29" s="30"/>
      <c r="F29" s="30"/>
      <c r="G29" s="86"/>
      <c r="H29" s="85">
        <f>IF(H28="Bull",J26,IF(H28="Bear",L24,IF(H28="Central",K25,"Error")))</f>
        <v>9168.0634995460532</v>
      </c>
      <c r="I29" s="30"/>
      <c r="J29" s="84"/>
      <c r="K29" s="30"/>
      <c r="L29" s="30"/>
      <c r="M29" s="86"/>
      <c r="N29" s="85">
        <f>IF(N28="Bull",P26,IF(N28="Bear",R24,IF(N28="Central",Q25,"Error")))</f>
        <v>6903.4711455820134</v>
      </c>
      <c r="O29" s="30"/>
      <c r="P29" s="84"/>
      <c r="Q29" s="30"/>
      <c r="R29" s="30"/>
      <c r="S29" s="86"/>
      <c r="T29" s="58"/>
    </row>
    <row r="30" spans="1:22" x14ac:dyDescent="0.3">
      <c r="B30"/>
      <c r="C30"/>
      <c r="D30" s="28"/>
      <c r="E30" s="27"/>
      <c r="F30"/>
      <c r="G30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</row>
    <row r="31" spans="1:22" x14ac:dyDescent="0.3">
      <c r="A31" s="28" t="s">
        <v>25</v>
      </c>
      <c r="B31" s="28">
        <f>DCF!B25</f>
        <v>2986</v>
      </c>
      <c r="C31" s="58"/>
      <c r="D31" s="28"/>
      <c r="E31" s="27"/>
      <c r="F31" s="10"/>
      <c r="G31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</row>
    <row r="32" spans="1:22" x14ac:dyDescent="0.3">
      <c r="A32" s="52" t="s">
        <v>65</v>
      </c>
      <c r="B32" s="79">
        <f>B29+H29+N29</f>
        <v>20958.351371385157</v>
      </c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</row>
    <row r="33" spans="1:20" x14ac:dyDescent="0.3">
      <c r="A33" s="52" t="s">
        <v>56</v>
      </c>
      <c r="B33" s="80">
        <f>B32/DCF!B36</f>
        <v>23.925058643133742</v>
      </c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</row>
    <row r="34" spans="1:20" x14ac:dyDescent="0.3">
      <c r="A34" s="53" t="s">
        <v>66</v>
      </c>
      <c r="B34" s="56">
        <f>B33*2</f>
        <v>47.850117286267484</v>
      </c>
      <c r="C34" s="59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</row>
    <row r="35" spans="1:20" x14ac:dyDescent="0.3">
      <c r="A35" s="81" t="s">
        <v>67</v>
      </c>
      <c r="B35" s="54">
        <f>DCF!I9</f>
        <v>36.82</v>
      </c>
      <c r="C35" s="58"/>
    </row>
    <row r="36" spans="1:20" x14ac:dyDescent="0.3">
      <c r="A36" s="63" t="s">
        <v>22</v>
      </c>
      <c r="B36" s="82">
        <f>B34-B35</f>
        <v>11.030117286267483</v>
      </c>
      <c r="C36" s="10">
        <f>B36/B35</f>
        <v>0.29956863895348951</v>
      </c>
    </row>
  </sheetData>
  <dataValidations count="1">
    <dataValidation type="list" allowBlank="1" showInputMessage="1" showErrorMessage="1" sqref="B28 H28 N28" xr:uid="{B110F3C2-1E4E-45A0-BB92-5A75057DEE2A}">
      <formula1>$AA$2:$AA$4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C3436-3D57-4757-9CB9-CA7911356AE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DCF</vt:lpstr>
      <vt:lpstr>SOTP</vt:lpstr>
      <vt:lpstr>rNPV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2025-10-30T14:24:16Z</dcterms:created>
  <dcterms:modified xsi:type="dcterms:W3CDTF">2025-11-03T14:13:44Z</dcterms:modified>
</cp:coreProperties>
</file>