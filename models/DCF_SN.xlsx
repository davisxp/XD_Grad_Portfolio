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10f4a09bcef627/Documents/GitHub/XD_Grad_Portfolio/models/"/>
    </mc:Choice>
  </mc:AlternateContent>
  <xr:revisionPtr revIDLastSave="4269" documentId="8_{4CAA811A-3924-48A6-9DA9-F0A76AB10370}" xr6:coauthVersionLast="47" xr6:coauthVersionMax="47" xr10:uidLastSave="{22069D15-3898-4772-842C-863352BEAA5A}"/>
  <bookViews>
    <workbookView xWindow="-108" yWindow="-108" windowWidth="23256" windowHeight="12456" activeTab="2" xr2:uid="{074DC5BB-03BC-4711-88CA-6F8F6CA366FE}"/>
  </bookViews>
  <sheets>
    <sheet name="DCF" sheetId="2" r:id="rId1"/>
    <sheet name="SOTP" sheetId="3" r:id="rId2"/>
    <sheet name="rNPV" sheetId="4" r:id="rId3"/>
  </sheets>
  <externalReferences>
    <externalReference r:id="rId4"/>
  </externalReferences>
  <definedNames>
    <definedName name="Scenario">rNPV!$A$1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" i="4" l="1"/>
  <c r="AV3" i="4"/>
  <c r="AU3" i="4"/>
  <c r="AT3" i="4"/>
  <c r="AS3" i="4"/>
  <c r="AR3" i="4"/>
  <c r="AQ3" i="4"/>
  <c r="AP3" i="4"/>
  <c r="AP6" i="4" s="1"/>
  <c r="AO3" i="4"/>
  <c r="AN3" i="4"/>
  <c r="AM3" i="4"/>
  <c r="AL3" i="4"/>
  <c r="AK3" i="4"/>
  <c r="AJ3" i="4"/>
  <c r="AI3" i="4"/>
  <c r="AH3" i="4"/>
  <c r="AH6" i="4" s="1"/>
  <c r="AG3" i="4"/>
  <c r="AF3" i="4"/>
  <c r="AE3" i="4"/>
  <c r="AD3" i="4"/>
  <c r="AC3" i="4"/>
  <c r="AB3" i="4"/>
  <c r="AA3" i="4"/>
  <c r="Z3" i="4"/>
  <c r="Z6" i="4" s="1"/>
  <c r="Y3" i="4"/>
  <c r="X3" i="4"/>
  <c r="W3" i="4"/>
  <c r="V3" i="4"/>
  <c r="U3" i="4"/>
  <c r="T3" i="4"/>
  <c r="S3" i="4"/>
  <c r="R3" i="4"/>
  <c r="R6" i="4" s="1"/>
  <c r="Q3" i="4"/>
  <c r="P3" i="4"/>
  <c r="O3" i="4"/>
  <c r="N3" i="4"/>
  <c r="M3" i="4"/>
  <c r="L3" i="4"/>
  <c r="K3" i="4"/>
  <c r="J3" i="4"/>
  <c r="J6" i="4" s="1"/>
  <c r="I3" i="4"/>
  <c r="I6" i="4" s="1"/>
  <c r="H3" i="4"/>
  <c r="H10" i="4" s="1"/>
  <c r="G3" i="4"/>
  <c r="G10" i="4" s="1"/>
  <c r="F3" i="4"/>
  <c r="E3" i="4"/>
  <c r="D3" i="4"/>
  <c r="C3" i="4"/>
  <c r="C11" i="4" s="1"/>
  <c r="B3" i="4"/>
  <c r="B2" i="3"/>
  <c r="H2" i="3"/>
  <c r="N2" i="3"/>
  <c r="S2" i="3"/>
  <c r="R2" i="3"/>
  <c r="Q2" i="3"/>
  <c r="P2" i="3"/>
  <c r="O2" i="3"/>
  <c r="M2" i="3"/>
  <c r="L2" i="3"/>
  <c r="K2" i="3"/>
  <c r="J2" i="3"/>
  <c r="I2" i="3"/>
  <c r="G2" i="3"/>
  <c r="F2" i="3"/>
  <c r="E2" i="3"/>
  <c r="D2" i="3"/>
  <c r="C2" i="3"/>
  <c r="F1" i="2"/>
  <c r="E1" i="2"/>
  <c r="D1" i="2"/>
  <c r="C1" i="2"/>
  <c r="B1" i="2"/>
  <c r="B56" i="4"/>
  <c r="C50" i="4"/>
  <c r="N47" i="4"/>
  <c r="N48" i="4" s="1"/>
  <c r="H47" i="4"/>
  <c r="H48" i="4" s="1"/>
  <c r="B47" i="4"/>
  <c r="B48" i="4" s="1"/>
  <c r="N45" i="4"/>
  <c r="N44" i="4" s="1"/>
  <c r="H45" i="4"/>
  <c r="H44" i="4" s="1"/>
  <c r="B45" i="4"/>
  <c r="B44" i="4"/>
  <c r="R43" i="4"/>
  <c r="S43" i="4" s="1"/>
  <c r="P43" i="4"/>
  <c r="O43" i="4"/>
  <c r="L43" i="4"/>
  <c r="M43" i="4" s="1"/>
  <c r="J43" i="4"/>
  <c r="I43" i="4" s="1"/>
  <c r="F43" i="4"/>
  <c r="G43" i="4" s="1"/>
  <c r="D43" i="4"/>
  <c r="C43" i="4" s="1"/>
  <c r="AP8" i="4"/>
  <c r="AH8" i="4"/>
  <c r="Z8" i="4"/>
  <c r="R8" i="4"/>
  <c r="B8" i="4"/>
  <c r="J8" i="4"/>
  <c r="AQ6" i="4"/>
  <c r="AR6" i="4"/>
  <c r="AS6" i="4"/>
  <c r="AT6" i="4"/>
  <c r="AU6" i="4"/>
  <c r="AV6" i="4"/>
  <c r="AW6" i="4"/>
  <c r="AI6" i="4"/>
  <c r="AJ6" i="4"/>
  <c r="AK6" i="4"/>
  <c r="AL6" i="4"/>
  <c r="AM6" i="4"/>
  <c r="AN6" i="4"/>
  <c r="AO6" i="4"/>
  <c r="AA6" i="4"/>
  <c r="AB6" i="4"/>
  <c r="AC6" i="4"/>
  <c r="AD6" i="4"/>
  <c r="AE6" i="4"/>
  <c r="AF6" i="4"/>
  <c r="AG6" i="4"/>
  <c r="S6" i="4"/>
  <c r="T6" i="4"/>
  <c r="U6" i="4"/>
  <c r="V6" i="4"/>
  <c r="W6" i="4"/>
  <c r="X6" i="4"/>
  <c r="Y6" i="4"/>
  <c r="K6" i="4"/>
  <c r="L6" i="4"/>
  <c r="M6" i="4"/>
  <c r="N6" i="4"/>
  <c r="O6" i="4"/>
  <c r="P6" i="4"/>
  <c r="Q6" i="4"/>
  <c r="B6" i="4"/>
  <c r="C6" i="4"/>
  <c r="E6" i="4"/>
  <c r="F6" i="4"/>
  <c r="D6" i="4"/>
  <c r="AQ11" i="4"/>
  <c r="AR11" i="4"/>
  <c r="AI11" i="4"/>
  <c r="AH11" i="4"/>
  <c r="AA11" i="4"/>
  <c r="S11" i="4"/>
  <c r="R11" i="4"/>
  <c r="K11" i="4"/>
  <c r="L11" i="4"/>
  <c r="D11" i="4"/>
  <c r="E11" i="4"/>
  <c r="B11" i="4"/>
  <c r="AS10" i="4"/>
  <c r="AT10" i="4"/>
  <c r="AU10" i="4"/>
  <c r="AV10" i="4"/>
  <c r="AW10" i="4"/>
  <c r="AJ10" i="4"/>
  <c r="AK10" i="4"/>
  <c r="AL10" i="4"/>
  <c r="AM10" i="4"/>
  <c r="AN10" i="4"/>
  <c r="AO10" i="4"/>
  <c r="AB10" i="4"/>
  <c r="AC10" i="4"/>
  <c r="AD10" i="4"/>
  <c r="AE10" i="4"/>
  <c r="AF10" i="4"/>
  <c r="AG10" i="4"/>
  <c r="T10" i="4"/>
  <c r="U10" i="4"/>
  <c r="V10" i="4"/>
  <c r="W10" i="4"/>
  <c r="X10" i="4"/>
  <c r="Y10" i="4"/>
  <c r="M10" i="4"/>
  <c r="N10" i="4"/>
  <c r="O10" i="4"/>
  <c r="P10" i="4"/>
  <c r="Q10" i="4"/>
  <c r="D10" i="4"/>
  <c r="E10" i="4"/>
  <c r="F10" i="4"/>
  <c r="BL17" i="4"/>
  <c r="AP4" i="4" s="1"/>
  <c r="AQ4" i="4" s="1"/>
  <c r="AR4" i="4" s="1"/>
  <c r="AS4" i="4" s="1"/>
  <c r="AT4" i="4" s="1"/>
  <c r="AU4" i="4" s="1"/>
  <c r="AV4" i="4" s="1"/>
  <c r="AW4" i="4" s="1"/>
  <c r="BK17" i="4"/>
  <c r="AH4" i="4" s="1"/>
  <c r="AI4" i="4" s="1"/>
  <c r="AJ4" i="4" s="1"/>
  <c r="AK4" i="4" s="1"/>
  <c r="AL4" i="4" s="1"/>
  <c r="AM4" i="4" s="1"/>
  <c r="AN4" i="4" s="1"/>
  <c r="AO4" i="4" s="1"/>
  <c r="BJ17" i="4"/>
  <c r="Z4" i="4" s="1"/>
  <c r="AA4" i="4" s="1"/>
  <c r="AB4" i="4" s="1"/>
  <c r="AC4" i="4" s="1"/>
  <c r="AD4" i="4" s="1"/>
  <c r="AE4" i="4" s="1"/>
  <c r="AF4" i="4" s="1"/>
  <c r="AG4" i="4" s="1"/>
  <c r="BI17" i="4"/>
  <c r="R4" i="4" s="1"/>
  <c r="S4" i="4" s="1"/>
  <c r="T4" i="4" s="1"/>
  <c r="U4" i="4" s="1"/>
  <c r="V4" i="4" s="1"/>
  <c r="W4" i="4" s="1"/>
  <c r="X4" i="4" s="1"/>
  <c r="Y4" i="4" s="1"/>
  <c r="BH17" i="4"/>
  <c r="J4" i="4" s="1"/>
  <c r="K4" i="4" s="1"/>
  <c r="L4" i="4" s="1"/>
  <c r="M4" i="4" s="1"/>
  <c r="N4" i="4" s="1"/>
  <c r="O4" i="4" s="1"/>
  <c r="P4" i="4" s="1"/>
  <c r="Q4" i="4" s="1"/>
  <c r="BG17" i="4"/>
  <c r="B4" i="4" s="1"/>
  <c r="C4" i="4" s="1"/>
  <c r="D4" i="4" s="1"/>
  <c r="E4" i="4" s="1"/>
  <c r="F4" i="4" s="1"/>
  <c r="G4" i="4" s="1"/>
  <c r="H4" i="4" s="1"/>
  <c r="I4" i="4" s="1"/>
  <c r="AP11" i="4" l="1"/>
  <c r="Z11" i="4"/>
  <c r="J11" i="4"/>
  <c r="I10" i="4"/>
  <c r="H6" i="4"/>
  <c r="I7" i="4" s="1"/>
  <c r="G6" i="4"/>
  <c r="G7" i="4" s="1"/>
  <c r="F7" i="4"/>
  <c r="E7" i="4"/>
  <c r="D7" i="4"/>
  <c r="AP7" i="4"/>
  <c r="AQ8" i="4" s="1"/>
  <c r="Z7" i="4"/>
  <c r="AA8" i="4" s="1"/>
  <c r="R7" i="4"/>
  <c r="S8" i="4" s="1"/>
  <c r="J7" i="4"/>
  <c r="K8" i="4" s="1"/>
  <c r="B7" i="4"/>
  <c r="C8" i="4" s="1"/>
  <c r="AH7" i="4"/>
  <c r="AI8" i="4" s="1"/>
  <c r="AQ7" i="4"/>
  <c r="C7" i="4"/>
  <c r="K7" i="4"/>
  <c r="AA7" i="4"/>
  <c r="AI7" i="4"/>
  <c r="S7" i="4"/>
  <c r="N29" i="3"/>
  <c r="H29" i="3"/>
  <c r="N26" i="3"/>
  <c r="N27" i="3" s="1"/>
  <c r="N24" i="3"/>
  <c r="N23" i="3"/>
  <c r="R22" i="3"/>
  <c r="S22" i="3" s="1"/>
  <c r="P22" i="3"/>
  <c r="O22" i="3" s="1"/>
  <c r="H26" i="3"/>
  <c r="H27" i="3" s="1"/>
  <c r="H24" i="3"/>
  <c r="H23" i="3" s="1"/>
  <c r="L22" i="3"/>
  <c r="M22" i="3" s="1"/>
  <c r="J22" i="3"/>
  <c r="I22" i="3" s="1"/>
  <c r="I23" i="2"/>
  <c r="B29" i="3"/>
  <c r="B26" i="3"/>
  <c r="B27" i="3" s="1"/>
  <c r="B24" i="3"/>
  <c r="B23" i="3" s="1"/>
  <c r="F22" i="3"/>
  <c r="G22" i="3" s="1"/>
  <c r="D22" i="3"/>
  <c r="C22" i="3"/>
  <c r="B35" i="3"/>
  <c r="W8" i="3"/>
  <c r="W13" i="3" s="1"/>
  <c r="W7" i="3"/>
  <c r="W6" i="3"/>
  <c r="W5" i="3"/>
  <c r="W2" i="3"/>
  <c r="AZ12" i="4" s="1"/>
  <c r="B4" i="2"/>
  <c r="C4" i="2"/>
  <c r="D4" i="2"/>
  <c r="E4" i="2"/>
  <c r="F4" i="2"/>
  <c r="N9" i="3"/>
  <c r="Q8" i="3" s="1"/>
  <c r="H9" i="3"/>
  <c r="I8" i="3" s="1"/>
  <c r="B9" i="3"/>
  <c r="D8" i="3" s="1"/>
  <c r="N3" i="3"/>
  <c r="N5" i="3" s="1"/>
  <c r="H3" i="3"/>
  <c r="H5" i="3" s="1"/>
  <c r="B3" i="3"/>
  <c r="T4" i="3"/>
  <c r="T3" i="3"/>
  <c r="I8" i="2"/>
  <c r="H7" i="4" l="1"/>
  <c r="AP9" i="4"/>
  <c r="AP17" i="4" s="1"/>
  <c r="AQ18" i="4" s="1"/>
  <c r="AR8" i="4"/>
  <c r="R9" i="4"/>
  <c r="R17" i="4" s="1"/>
  <c r="S18" i="4" s="1"/>
  <c r="T8" i="4"/>
  <c r="AB8" i="4"/>
  <c r="AJ8" i="4"/>
  <c r="L8" i="4"/>
  <c r="J9" i="4"/>
  <c r="J17" i="4" s="1"/>
  <c r="K18" i="4" s="1"/>
  <c r="AH9" i="4"/>
  <c r="AH17" i="4" s="1"/>
  <c r="AI18" i="4" s="1"/>
  <c r="Z9" i="4"/>
  <c r="Z17" i="4" s="1"/>
  <c r="AA18" i="4" s="1"/>
  <c r="D8" i="4"/>
  <c r="B9" i="4"/>
  <c r="B17" i="4" s="1"/>
  <c r="C18" i="4" s="1"/>
  <c r="S9" i="4"/>
  <c r="T7" i="4"/>
  <c r="AJ7" i="4"/>
  <c r="AA9" i="4"/>
  <c r="AB7" i="4"/>
  <c r="L7" i="4"/>
  <c r="AR7" i="4"/>
  <c r="W4" i="3"/>
  <c r="AZ13" i="4" s="1"/>
  <c r="H13" i="3"/>
  <c r="J11" i="3" s="1"/>
  <c r="C8" i="3"/>
  <c r="G8" i="3"/>
  <c r="P8" i="3"/>
  <c r="L8" i="3"/>
  <c r="B13" i="3"/>
  <c r="K8" i="3"/>
  <c r="F8" i="3"/>
  <c r="O8" i="3"/>
  <c r="M8" i="3"/>
  <c r="B5" i="3"/>
  <c r="E8" i="3"/>
  <c r="S8" i="3"/>
  <c r="N13" i="3"/>
  <c r="R8" i="3"/>
  <c r="J8" i="3"/>
  <c r="AP12" i="4" l="1"/>
  <c r="R12" i="4"/>
  <c r="AS8" i="4"/>
  <c r="U8" i="4"/>
  <c r="M8" i="4"/>
  <c r="AC8" i="4"/>
  <c r="AK8" i="4"/>
  <c r="Z12" i="4"/>
  <c r="E8" i="4"/>
  <c r="F8" i="4" s="1"/>
  <c r="J12" i="4"/>
  <c r="AH12" i="4"/>
  <c r="AI9" i="4"/>
  <c r="AI16" i="4" s="1"/>
  <c r="AR9" i="4"/>
  <c r="S16" i="4"/>
  <c r="S17" i="4"/>
  <c r="T18" i="4" s="1"/>
  <c r="AA16" i="4"/>
  <c r="AA17" i="4"/>
  <c r="AB18" i="4" s="1"/>
  <c r="AQ9" i="4"/>
  <c r="C9" i="4"/>
  <c r="S12" i="4"/>
  <c r="AA12" i="4"/>
  <c r="B12" i="4"/>
  <c r="K9" i="4"/>
  <c r="H11" i="3"/>
  <c r="I11" i="3"/>
  <c r="M7" i="4"/>
  <c r="AC7" i="4"/>
  <c r="AS7" i="4"/>
  <c r="AK7" i="4"/>
  <c r="U7" i="4"/>
  <c r="L11" i="3"/>
  <c r="M11" i="3"/>
  <c r="K11" i="3"/>
  <c r="H6" i="3"/>
  <c r="N6" i="3"/>
  <c r="B6" i="3"/>
  <c r="E11" i="3"/>
  <c r="D11" i="3"/>
  <c r="F11" i="3"/>
  <c r="G11" i="3"/>
  <c r="B11" i="3"/>
  <c r="C11" i="3"/>
  <c r="O11" i="3"/>
  <c r="P11" i="3"/>
  <c r="Q11" i="3"/>
  <c r="R11" i="3"/>
  <c r="S11" i="3"/>
  <c r="N11" i="3"/>
  <c r="P3" i="3"/>
  <c r="P4" i="3" s="1"/>
  <c r="P6" i="3" s="1"/>
  <c r="Q3" i="3"/>
  <c r="Q4" i="3" s="1"/>
  <c r="Q6" i="3" s="1"/>
  <c r="R3" i="3"/>
  <c r="R4" i="3" s="1"/>
  <c r="R6" i="3" s="1"/>
  <c r="S3" i="3"/>
  <c r="S4" i="3" s="1"/>
  <c r="S6" i="3" s="1"/>
  <c r="O3" i="3"/>
  <c r="O4" i="3" s="1"/>
  <c r="O6" i="3" s="1"/>
  <c r="J3" i="3"/>
  <c r="J4" i="3" s="1"/>
  <c r="J6" i="3" s="1"/>
  <c r="K3" i="3"/>
  <c r="K4" i="3" s="1"/>
  <c r="K6" i="3" s="1"/>
  <c r="L3" i="3"/>
  <c r="L4" i="3" s="1"/>
  <c r="L6" i="3" s="1"/>
  <c r="M3" i="3"/>
  <c r="M4" i="3" s="1"/>
  <c r="M6" i="3" s="1"/>
  <c r="I3" i="3"/>
  <c r="I4" i="3" s="1"/>
  <c r="I6" i="3" s="1"/>
  <c r="D3" i="3"/>
  <c r="D4" i="3" s="1"/>
  <c r="D6" i="3" s="1"/>
  <c r="E3" i="3"/>
  <c r="E4" i="3" s="1"/>
  <c r="E6" i="3" s="1"/>
  <c r="F3" i="3"/>
  <c r="F4" i="3" s="1"/>
  <c r="F6" i="3" s="1"/>
  <c r="G3" i="3"/>
  <c r="G4" i="3" s="1"/>
  <c r="G6" i="3" s="1"/>
  <c r="C3" i="3"/>
  <c r="C4" i="3" s="1"/>
  <c r="C6" i="3" s="1"/>
  <c r="G32" i="2"/>
  <c r="G33" i="2" s="1"/>
  <c r="G30" i="2"/>
  <c r="G29" i="2" s="1"/>
  <c r="I35" i="2"/>
  <c r="L35" i="2" s="1"/>
  <c r="K28" i="2"/>
  <c r="L28" i="2" s="1"/>
  <c r="I28" i="2"/>
  <c r="H28" i="2" s="1"/>
  <c r="D29" i="2"/>
  <c r="B29" i="2"/>
  <c r="I13" i="2"/>
  <c r="AT8" i="4" l="1"/>
  <c r="V8" i="4"/>
  <c r="N8" i="4"/>
  <c r="AD8" i="4"/>
  <c r="AL8" i="4"/>
  <c r="AI17" i="4"/>
  <c r="AJ18" i="4" s="1"/>
  <c r="AI12" i="4"/>
  <c r="T9" i="4"/>
  <c r="T16" i="4" s="1"/>
  <c r="K16" i="4"/>
  <c r="K17" i="4"/>
  <c r="L18" i="4" s="1"/>
  <c r="AR16" i="4"/>
  <c r="AR17" i="4"/>
  <c r="AS18" i="4" s="1"/>
  <c r="AJ9" i="4"/>
  <c r="C16" i="4"/>
  <c r="C17" i="4"/>
  <c r="D18" i="4" s="1"/>
  <c r="L9" i="4"/>
  <c r="L12" i="4" s="1"/>
  <c r="AQ16" i="4"/>
  <c r="AQ17" i="4"/>
  <c r="AR18" i="4" s="1"/>
  <c r="AQ12" i="4"/>
  <c r="AB9" i="4"/>
  <c r="D9" i="4"/>
  <c r="K12" i="4"/>
  <c r="C12" i="4"/>
  <c r="AR12" i="4"/>
  <c r="AD7" i="4"/>
  <c r="AL7" i="4"/>
  <c r="N7" i="4"/>
  <c r="G8" i="4"/>
  <c r="AT7" i="4"/>
  <c r="V7" i="4"/>
  <c r="W8" i="4" s="1"/>
  <c r="B34" i="2"/>
  <c r="B36" i="2" s="1"/>
  <c r="J36" i="2" s="1"/>
  <c r="B20" i="2"/>
  <c r="B24" i="2"/>
  <c r="B23" i="2"/>
  <c r="B22" i="2"/>
  <c r="B21" i="2"/>
  <c r="B19" i="2"/>
  <c r="B18" i="2"/>
  <c r="B17" i="2"/>
  <c r="B16" i="2"/>
  <c r="B15" i="2"/>
  <c r="B25" i="2" l="1"/>
  <c r="AU8" i="4"/>
  <c r="AE8" i="4"/>
  <c r="O8" i="4"/>
  <c r="AM8" i="4"/>
  <c r="T12" i="4"/>
  <c r="T17" i="4"/>
  <c r="U18" i="4" s="1"/>
  <c r="D16" i="4"/>
  <c r="D17" i="4"/>
  <c r="E18" i="4" s="1"/>
  <c r="L16" i="4"/>
  <c r="L17" i="4"/>
  <c r="M18" i="4" s="1"/>
  <c r="AJ16" i="4"/>
  <c r="AJ17" i="4"/>
  <c r="AK18" i="4" s="1"/>
  <c r="AJ12" i="4"/>
  <c r="AB12" i="4"/>
  <c r="AB17" i="4"/>
  <c r="AC18" i="4" s="1"/>
  <c r="AB16" i="4"/>
  <c r="AS9" i="4"/>
  <c r="AS12" i="4" s="1"/>
  <c r="AC9" i="4"/>
  <c r="U9" i="4"/>
  <c r="D12" i="4"/>
  <c r="E9" i="4"/>
  <c r="M9" i="4"/>
  <c r="AK9" i="4"/>
  <c r="AU7" i="4"/>
  <c r="AE7" i="4"/>
  <c r="H8" i="4"/>
  <c r="O7" i="4"/>
  <c r="N9" i="4"/>
  <c r="W7" i="4"/>
  <c r="X8" i="4" s="1"/>
  <c r="V9" i="4"/>
  <c r="AM7" i="4"/>
  <c r="J37" i="2"/>
  <c r="K37" i="2" s="1"/>
  <c r="G20" i="2"/>
  <c r="G21" i="2" s="1"/>
  <c r="G18" i="2"/>
  <c r="G17" i="2" s="1"/>
  <c r="I16" i="2"/>
  <c r="H16" i="2" s="1"/>
  <c r="K16" i="2"/>
  <c r="L16" i="2" s="1"/>
  <c r="I7" i="2"/>
  <c r="I6" i="2"/>
  <c r="I5" i="2"/>
  <c r="I2" i="2"/>
  <c r="C6" i="2"/>
  <c r="D6" i="2"/>
  <c r="E6" i="2"/>
  <c r="F6" i="2"/>
  <c r="B6" i="2"/>
  <c r="C2" i="2"/>
  <c r="D2" i="2"/>
  <c r="E2" i="2"/>
  <c r="F2" i="2"/>
  <c r="B2" i="2"/>
  <c r="AV8" i="4" l="1"/>
  <c r="AN8" i="4"/>
  <c r="AF8" i="4"/>
  <c r="P8" i="4"/>
  <c r="AT9" i="4"/>
  <c r="AT17" i="4" s="1"/>
  <c r="AU18" i="4" s="1"/>
  <c r="AL9" i="4"/>
  <c r="AL17" i="4" s="1"/>
  <c r="AM18" i="4" s="1"/>
  <c r="AK17" i="4"/>
  <c r="AL18" i="4" s="1"/>
  <c r="AK16" i="4"/>
  <c r="E16" i="4"/>
  <c r="E17" i="4"/>
  <c r="F18" i="4" s="1"/>
  <c r="V17" i="4"/>
  <c r="W18" i="4" s="1"/>
  <c r="V16" i="4"/>
  <c r="AM9" i="4"/>
  <c r="M16" i="4"/>
  <c r="M17" i="4"/>
  <c r="N18" i="4" s="1"/>
  <c r="U12" i="4"/>
  <c r="U16" i="4"/>
  <c r="U17" i="4"/>
  <c r="V18" i="4" s="1"/>
  <c r="AC17" i="4"/>
  <c r="AD18" i="4" s="1"/>
  <c r="AC16" i="4"/>
  <c r="AS16" i="4"/>
  <c r="AS17" i="4"/>
  <c r="AT18" i="4" s="1"/>
  <c r="N16" i="4"/>
  <c r="N17" i="4"/>
  <c r="O18" i="4" s="1"/>
  <c r="AC12" i="4"/>
  <c r="F9" i="4"/>
  <c r="F12" i="4" s="1"/>
  <c r="O9" i="4"/>
  <c r="M12" i="4"/>
  <c r="AD9" i="4"/>
  <c r="V12" i="4"/>
  <c r="AK12" i="4"/>
  <c r="E12" i="4"/>
  <c r="N12" i="4"/>
  <c r="X7" i="4"/>
  <c r="Y8" i="4" s="1"/>
  <c r="AV7" i="4"/>
  <c r="P7" i="4"/>
  <c r="I8" i="4"/>
  <c r="AN7" i="4"/>
  <c r="AF7" i="4"/>
  <c r="J12" i="3"/>
  <c r="J15" i="3" s="1"/>
  <c r="J16" i="3" s="1"/>
  <c r="P12" i="3"/>
  <c r="P15" i="3" s="1"/>
  <c r="P16" i="3" s="1"/>
  <c r="D12" i="3"/>
  <c r="D15" i="3" s="1"/>
  <c r="D16" i="3" s="1"/>
  <c r="N12" i="3"/>
  <c r="I12" i="3"/>
  <c r="I15" i="3" s="1"/>
  <c r="I16" i="3" s="1"/>
  <c r="B12" i="3"/>
  <c r="C12" i="3"/>
  <c r="C15" i="3" s="1"/>
  <c r="C16" i="3" s="1"/>
  <c r="H12" i="3"/>
  <c r="O12" i="3"/>
  <c r="O15" i="3" s="1"/>
  <c r="O16" i="3" s="1"/>
  <c r="M12" i="3"/>
  <c r="M15" i="3" s="1"/>
  <c r="M16" i="3" s="1"/>
  <c r="H18" i="3" s="1"/>
  <c r="S12" i="3"/>
  <c r="S15" i="3" s="1"/>
  <c r="S16" i="3" s="1"/>
  <c r="N18" i="3" s="1"/>
  <c r="G12" i="3"/>
  <c r="G15" i="3" s="1"/>
  <c r="G16" i="3" s="1"/>
  <c r="B18" i="3" s="1"/>
  <c r="L23" i="2"/>
  <c r="J24" i="2" s="1"/>
  <c r="B31" i="3"/>
  <c r="B32" i="3" s="1"/>
  <c r="I4" i="2"/>
  <c r="F12" i="3"/>
  <c r="F15" i="3" s="1"/>
  <c r="F16" i="3" s="1"/>
  <c r="L12" i="3"/>
  <c r="L15" i="3" s="1"/>
  <c r="L16" i="3" s="1"/>
  <c r="R12" i="3"/>
  <c r="R15" i="3" s="1"/>
  <c r="R16" i="3" s="1"/>
  <c r="Q12" i="3"/>
  <c r="Q15" i="3" s="1"/>
  <c r="Q16" i="3" s="1"/>
  <c r="E12" i="3"/>
  <c r="E15" i="3" s="1"/>
  <c r="E16" i="3" s="1"/>
  <c r="K12" i="3"/>
  <c r="K15" i="3" s="1"/>
  <c r="K16" i="3" s="1"/>
  <c r="F5" i="2"/>
  <c r="E5" i="2"/>
  <c r="B5" i="2"/>
  <c r="J25" i="2" l="1"/>
  <c r="K25" i="2" s="1"/>
  <c r="AW8" i="4"/>
  <c r="AG8" i="4"/>
  <c r="AO8" i="4"/>
  <c r="AT16" i="4"/>
  <c r="AT12" i="4"/>
  <c r="B33" i="3"/>
  <c r="B34" i="3" s="1"/>
  <c r="B36" i="3" s="1"/>
  <c r="C36" i="3" s="1"/>
  <c r="B52" i="4"/>
  <c r="Q8" i="4"/>
  <c r="AL16" i="4"/>
  <c r="AL12" i="4"/>
  <c r="AM17" i="4"/>
  <c r="AN18" i="4" s="1"/>
  <c r="AM16" i="4"/>
  <c r="AD17" i="4"/>
  <c r="AE18" i="4" s="1"/>
  <c r="AD16" i="4"/>
  <c r="O17" i="4"/>
  <c r="P18" i="4" s="1"/>
  <c r="O16" i="4"/>
  <c r="F16" i="4"/>
  <c r="F17" i="4"/>
  <c r="G18" i="4" s="1"/>
  <c r="AE9" i="4"/>
  <c r="X9" i="4"/>
  <c r="G9" i="4"/>
  <c r="O12" i="4"/>
  <c r="AD12" i="4"/>
  <c r="AU9" i="4"/>
  <c r="AM12" i="4"/>
  <c r="W9" i="4"/>
  <c r="AO7" i="4"/>
  <c r="AG7" i="4"/>
  <c r="AW7" i="4"/>
  <c r="AV9" i="4"/>
  <c r="Y7" i="4"/>
  <c r="Q7" i="4"/>
  <c r="B19" i="3"/>
  <c r="H19" i="3"/>
  <c r="N19" i="3"/>
  <c r="D5" i="2"/>
  <c r="F3" i="2"/>
  <c r="F7" i="2" s="1"/>
  <c r="B11" i="2" s="1"/>
  <c r="D3" i="2"/>
  <c r="E3" i="2"/>
  <c r="E7" i="2" s="1"/>
  <c r="C3" i="2"/>
  <c r="B3" i="2"/>
  <c r="B7" i="2" s="1"/>
  <c r="C5" i="2"/>
  <c r="N22" i="3" l="1"/>
  <c r="N39" i="4"/>
  <c r="H22" i="3"/>
  <c r="B39" i="4"/>
  <c r="B22" i="3"/>
  <c r="H39" i="4"/>
  <c r="Q9" i="4"/>
  <c r="AE17" i="4"/>
  <c r="AF18" i="4" s="1"/>
  <c r="AE16" i="4"/>
  <c r="AU17" i="4"/>
  <c r="AV18" i="4" s="1"/>
  <c r="AU16" i="4"/>
  <c r="X17" i="4"/>
  <c r="Y18" i="4" s="1"/>
  <c r="X16" i="4"/>
  <c r="G17" i="4"/>
  <c r="H18" i="4" s="1"/>
  <c r="G16" i="4"/>
  <c r="W17" i="4"/>
  <c r="X18" i="4" s="1"/>
  <c r="W16" i="4"/>
  <c r="AV16" i="4"/>
  <c r="AV17" i="4"/>
  <c r="AW18" i="4" s="1"/>
  <c r="AE12" i="4"/>
  <c r="G12" i="4"/>
  <c r="P9" i="4"/>
  <c r="AO9" i="4"/>
  <c r="AF9" i="4"/>
  <c r="AF12" i="4" s="1"/>
  <c r="H9" i="4"/>
  <c r="AV12" i="4"/>
  <c r="AU12" i="4"/>
  <c r="AN9" i="4"/>
  <c r="Y9" i="4"/>
  <c r="X12" i="4"/>
  <c r="AG9" i="4"/>
  <c r="W12" i="4"/>
  <c r="D7" i="2"/>
  <c r="C7" i="2"/>
  <c r="C8" i="2" s="1"/>
  <c r="B8" i="2"/>
  <c r="D8" i="2"/>
  <c r="D11" i="2"/>
  <c r="F8" i="2"/>
  <c r="E8" i="2"/>
  <c r="H17" i="4" l="1"/>
  <c r="I18" i="4" s="1"/>
  <c r="H16" i="4"/>
  <c r="Q16" i="4"/>
  <c r="Q17" i="4"/>
  <c r="AO16" i="4"/>
  <c r="AO17" i="4"/>
  <c r="AN17" i="4"/>
  <c r="AO18" i="4" s="1"/>
  <c r="AN16" i="4"/>
  <c r="AG16" i="4"/>
  <c r="AG17" i="4"/>
  <c r="AF16" i="4"/>
  <c r="AF17" i="4"/>
  <c r="AG18" i="4" s="1"/>
  <c r="Y17" i="4"/>
  <c r="Y16" i="4"/>
  <c r="P17" i="4"/>
  <c r="Q18" i="4" s="1"/>
  <c r="P16" i="4"/>
  <c r="H12" i="4"/>
  <c r="P12" i="4"/>
  <c r="AB11" i="4"/>
  <c r="AB13" i="4" s="1"/>
  <c r="AA10" i="4"/>
  <c r="AA13" i="4" s="1"/>
  <c r="AC11" i="4"/>
  <c r="AC13" i="4" s="1"/>
  <c r="AD11" i="4"/>
  <c r="AD13" i="4" s="1"/>
  <c r="AE11" i="4"/>
  <c r="AE13" i="4" s="1"/>
  <c r="AF11" i="4"/>
  <c r="AF13" i="4" s="1"/>
  <c r="AG11" i="4"/>
  <c r="Z10" i="4"/>
  <c r="Z13" i="4" s="1"/>
  <c r="T11" i="4"/>
  <c r="T13" i="4" s="1"/>
  <c r="U11" i="4"/>
  <c r="U13" i="4" s="1"/>
  <c r="S10" i="4"/>
  <c r="S13" i="4" s="1"/>
  <c r="V11" i="4"/>
  <c r="V13" i="4" s="1"/>
  <c r="W11" i="4"/>
  <c r="W13" i="4" s="1"/>
  <c r="X11" i="4"/>
  <c r="X13" i="4" s="1"/>
  <c r="R10" i="4"/>
  <c r="R13" i="4" s="1"/>
  <c r="Y11" i="4"/>
  <c r="AJ11" i="4"/>
  <c r="AJ13" i="4" s="1"/>
  <c r="AK11" i="4"/>
  <c r="AK13" i="4" s="1"/>
  <c r="AL11" i="4"/>
  <c r="AL13" i="4" s="1"/>
  <c r="AM11" i="4"/>
  <c r="AM13" i="4" s="1"/>
  <c r="AN11" i="4"/>
  <c r="AH10" i="4"/>
  <c r="AH13" i="4" s="1"/>
  <c r="AO11" i="4"/>
  <c r="AI10" i="4"/>
  <c r="AI13" i="4" s="1"/>
  <c r="L10" i="4"/>
  <c r="L13" i="4" s="1"/>
  <c r="M11" i="4"/>
  <c r="M13" i="4" s="1"/>
  <c r="P11" i="4"/>
  <c r="N11" i="4"/>
  <c r="N13" i="4" s="1"/>
  <c r="O11" i="4"/>
  <c r="O13" i="4" s="1"/>
  <c r="Q11" i="4"/>
  <c r="J10" i="4"/>
  <c r="J13" i="4" s="1"/>
  <c r="K10" i="4"/>
  <c r="K13" i="4" s="1"/>
  <c r="AG12" i="4"/>
  <c r="D13" i="4"/>
  <c r="E13" i="4"/>
  <c r="Y12" i="4"/>
  <c r="AN12" i="4"/>
  <c r="I9" i="4"/>
  <c r="Q12" i="4"/>
  <c r="AW9" i="4"/>
  <c r="AO12" i="4"/>
  <c r="B12" i="2"/>
  <c r="B26" i="2" s="1"/>
  <c r="D12" i="2"/>
  <c r="D26" i="2" s="1"/>
  <c r="G16" i="2" l="1"/>
  <c r="B27" i="2"/>
  <c r="G28" i="2"/>
  <c r="D27" i="2"/>
  <c r="AN13" i="4"/>
  <c r="AN14" i="4" s="1"/>
  <c r="AN15" i="4" s="1"/>
  <c r="AN19" i="4" s="1"/>
  <c r="AG13" i="4"/>
  <c r="AG14" i="4" s="1"/>
  <c r="AG15" i="4" s="1"/>
  <c r="AG19" i="4" s="1"/>
  <c r="Y13" i="4"/>
  <c r="Y14" i="4" s="1"/>
  <c r="Y15" i="4" s="1"/>
  <c r="Y19" i="4" s="1"/>
  <c r="I17" i="4"/>
  <c r="I16" i="4"/>
  <c r="AW16" i="4"/>
  <c r="AW17" i="4"/>
  <c r="P13" i="4"/>
  <c r="P14" i="4" s="1"/>
  <c r="W14" i="4"/>
  <c r="W15" i="4" s="1"/>
  <c r="W19" i="4" s="1"/>
  <c r="AC14" i="4"/>
  <c r="AC15" i="4" s="1"/>
  <c r="AC19" i="4" s="1"/>
  <c r="V14" i="4"/>
  <c r="V15" i="4" s="1"/>
  <c r="V19" i="4" s="1"/>
  <c r="AL14" i="4"/>
  <c r="AL15" i="4" s="1"/>
  <c r="AL19" i="4" s="1"/>
  <c r="S14" i="4"/>
  <c r="S15" i="4" s="1"/>
  <c r="S19" i="4" s="1"/>
  <c r="Z14" i="4"/>
  <c r="Z15" i="4" s="1"/>
  <c r="Z19" i="4" s="1"/>
  <c r="AM14" i="4"/>
  <c r="AM15" i="4" s="1"/>
  <c r="AM19" i="4" s="1"/>
  <c r="AA14" i="4"/>
  <c r="AA15" i="4" s="1"/>
  <c r="AA19" i="4" s="1"/>
  <c r="U14" i="4"/>
  <c r="U15" i="4" s="1"/>
  <c r="U19" i="4" s="1"/>
  <c r="AJ14" i="4"/>
  <c r="AJ15" i="4" s="1"/>
  <c r="AJ19" i="4" s="1"/>
  <c r="AD14" i="4"/>
  <c r="AD15" i="4" s="1"/>
  <c r="AD19" i="4" s="1"/>
  <c r="AE14" i="4"/>
  <c r="AE15" i="4" s="1"/>
  <c r="AE19" i="4" s="1"/>
  <c r="AB14" i="4"/>
  <c r="AB15" i="4" s="1"/>
  <c r="AB19" i="4" s="1"/>
  <c r="AK14" i="4"/>
  <c r="AK15" i="4" s="1"/>
  <c r="AK19" i="4" s="1"/>
  <c r="T14" i="4"/>
  <c r="T15" i="4" s="1"/>
  <c r="T19" i="4" s="1"/>
  <c r="AI14" i="4"/>
  <c r="AI15" i="4" s="1"/>
  <c r="AI19" i="4" s="1"/>
  <c r="R14" i="4"/>
  <c r="R15" i="4" s="1"/>
  <c r="R19" i="4" s="1"/>
  <c r="AH14" i="4"/>
  <c r="AH15" i="4" s="1"/>
  <c r="AH19" i="4" s="1"/>
  <c r="X14" i="4"/>
  <c r="X15" i="4" s="1"/>
  <c r="X19" i="4" s="1"/>
  <c r="AF14" i="4"/>
  <c r="AF15" i="4" s="1"/>
  <c r="AF19" i="4" s="1"/>
  <c r="M14" i="4"/>
  <c r="M15" i="4" s="1"/>
  <c r="M19" i="4" s="1"/>
  <c r="D14" i="4"/>
  <c r="D15" i="4" s="1"/>
  <c r="D19" i="4" s="1"/>
  <c r="E14" i="4"/>
  <c r="E15" i="4" s="1"/>
  <c r="E19" i="4" s="1"/>
  <c r="L14" i="4"/>
  <c r="L15" i="4" s="1"/>
  <c r="L19" i="4" s="1"/>
  <c r="N14" i="4"/>
  <c r="N15" i="4" s="1"/>
  <c r="N19" i="4" s="1"/>
  <c r="K14" i="4"/>
  <c r="K15" i="4" s="1"/>
  <c r="K19" i="4" s="1"/>
  <c r="O14" i="4"/>
  <c r="O15" i="4" s="1"/>
  <c r="O19" i="4" s="1"/>
  <c r="J14" i="4"/>
  <c r="J15" i="4" s="1"/>
  <c r="J19" i="4" s="1"/>
  <c r="AR10" i="4"/>
  <c r="AR13" i="4" s="1"/>
  <c r="AS11" i="4"/>
  <c r="AS13" i="4" s="1"/>
  <c r="AQ10" i="4"/>
  <c r="AQ13" i="4" s="1"/>
  <c r="AT11" i="4"/>
  <c r="AT13" i="4" s="1"/>
  <c r="AU11" i="4"/>
  <c r="AU13" i="4" s="1"/>
  <c r="AV11" i="4"/>
  <c r="AV13" i="4" s="1"/>
  <c r="AW11" i="4"/>
  <c r="AP10" i="4"/>
  <c r="AP13" i="4" s="1"/>
  <c r="C10" i="4"/>
  <c r="C13" i="4" s="1"/>
  <c r="F11" i="4"/>
  <c r="F13" i="4" s="1"/>
  <c r="H11" i="4"/>
  <c r="H13" i="4" s="1"/>
  <c r="G11" i="4"/>
  <c r="G13" i="4" s="1"/>
  <c r="I11" i="4"/>
  <c r="B10" i="4"/>
  <c r="B13" i="4" s="1"/>
  <c r="AO13" i="4"/>
  <c r="Q13" i="4"/>
  <c r="AW12" i="4"/>
  <c r="I12" i="4"/>
  <c r="E31" i="4" l="1"/>
  <c r="E32" i="4" s="1"/>
  <c r="E21" i="4"/>
  <c r="E22" i="4" s="1"/>
  <c r="E26" i="4"/>
  <c r="E27" i="4" s="1"/>
  <c r="AI31" i="4"/>
  <c r="AI32" i="4" s="1"/>
  <c r="AI21" i="4"/>
  <c r="AI22" i="4" s="1"/>
  <c r="AI26" i="4"/>
  <c r="AI27" i="4" s="1"/>
  <c r="AA31" i="4"/>
  <c r="AA32" i="4" s="1"/>
  <c r="AA21" i="4"/>
  <c r="AA22" i="4" s="1"/>
  <c r="AA26" i="4"/>
  <c r="AA27" i="4" s="1"/>
  <c r="D31" i="4"/>
  <c r="D32" i="4" s="1"/>
  <c r="D21" i="4"/>
  <c r="D22" i="4" s="1"/>
  <c r="D26" i="4"/>
  <c r="D27" i="4" s="1"/>
  <c r="T31" i="4"/>
  <c r="T32" i="4" s="1"/>
  <c r="T21" i="4"/>
  <c r="T22" i="4" s="1"/>
  <c r="T26" i="4"/>
  <c r="T27" i="4" s="1"/>
  <c r="AM31" i="4"/>
  <c r="AM32" i="4" s="1"/>
  <c r="AM21" i="4"/>
  <c r="AM22" i="4" s="1"/>
  <c r="AM26" i="4"/>
  <c r="AM27" i="4" s="1"/>
  <c r="AK31" i="4"/>
  <c r="AK32" i="4" s="1"/>
  <c r="AK21" i="4"/>
  <c r="AK22" i="4" s="1"/>
  <c r="AK26" i="4"/>
  <c r="AK27" i="4" s="1"/>
  <c r="J26" i="4"/>
  <c r="J27" i="4" s="1"/>
  <c r="J21" i="4"/>
  <c r="J22" i="4" s="1"/>
  <c r="J31" i="4"/>
  <c r="J32" i="4" s="1"/>
  <c r="AB31" i="4"/>
  <c r="AB32" i="4" s="1"/>
  <c r="AB21" i="4"/>
  <c r="AB22" i="4" s="1"/>
  <c r="AB26" i="4"/>
  <c r="AB27" i="4" s="1"/>
  <c r="O31" i="4"/>
  <c r="O32" i="4" s="1"/>
  <c r="O21" i="4"/>
  <c r="O22" i="4" s="1"/>
  <c r="O26" i="4"/>
  <c r="O27" i="4" s="1"/>
  <c r="X31" i="4"/>
  <c r="X32" i="4" s="1"/>
  <c r="X21" i="4"/>
  <c r="X22" i="4" s="1"/>
  <c r="X26" i="4"/>
  <c r="X27" i="4" s="1"/>
  <c r="AE31" i="4"/>
  <c r="AE32" i="4" s="1"/>
  <c r="AE21" i="4"/>
  <c r="AE22" i="4" s="1"/>
  <c r="AE26" i="4"/>
  <c r="AE27" i="4" s="1"/>
  <c r="AL31" i="4"/>
  <c r="AL32" i="4" s="1"/>
  <c r="AL21" i="4"/>
  <c r="AL22" i="4" s="1"/>
  <c r="AL26" i="4"/>
  <c r="AL27" i="4" s="1"/>
  <c r="M31" i="4"/>
  <c r="M32" i="4" s="1"/>
  <c r="M21" i="4"/>
  <c r="M22" i="4" s="1"/>
  <c r="M26" i="4"/>
  <c r="M27" i="4" s="1"/>
  <c r="K31" i="4"/>
  <c r="K32" i="4" s="1"/>
  <c r="K21" i="4"/>
  <c r="K22" i="4" s="1"/>
  <c r="K26" i="4"/>
  <c r="K27" i="4" s="1"/>
  <c r="AH26" i="4"/>
  <c r="AH27" i="4" s="1"/>
  <c r="AH31" i="4"/>
  <c r="AH32" i="4" s="1"/>
  <c r="AH21" i="4"/>
  <c r="AH22" i="4" s="1"/>
  <c r="AD31" i="4"/>
  <c r="AD32" i="4" s="1"/>
  <c r="AD21" i="4"/>
  <c r="AD22" i="4" s="1"/>
  <c r="AD26" i="4"/>
  <c r="AD27" i="4" s="1"/>
  <c r="V31" i="4"/>
  <c r="V32" i="4" s="1"/>
  <c r="V21" i="4"/>
  <c r="V22" i="4" s="1"/>
  <c r="V26" i="4"/>
  <c r="V27" i="4" s="1"/>
  <c r="Y26" i="4"/>
  <c r="Y31" i="4"/>
  <c r="Y21" i="4"/>
  <c r="AF31" i="4"/>
  <c r="AF32" i="4" s="1"/>
  <c r="AF21" i="4"/>
  <c r="AF22" i="4" s="1"/>
  <c r="AF26" i="4"/>
  <c r="AF27" i="4" s="1"/>
  <c r="N31" i="4"/>
  <c r="N32" i="4" s="1"/>
  <c r="N21" i="4"/>
  <c r="N22" i="4" s="1"/>
  <c r="N26" i="4"/>
  <c r="N27" i="4" s="1"/>
  <c r="R26" i="4"/>
  <c r="R27" i="4" s="1"/>
  <c r="R31" i="4"/>
  <c r="R32" i="4" s="1"/>
  <c r="R21" i="4"/>
  <c r="R22" i="4" s="1"/>
  <c r="AJ31" i="4"/>
  <c r="AJ32" i="4" s="1"/>
  <c r="AJ21" i="4"/>
  <c r="AJ22" i="4" s="1"/>
  <c r="AJ26" i="4"/>
  <c r="AJ27" i="4" s="1"/>
  <c r="AC31" i="4"/>
  <c r="AC32" i="4" s="1"/>
  <c r="AC21" i="4"/>
  <c r="AC22" i="4" s="1"/>
  <c r="AC26" i="4"/>
  <c r="AC27" i="4" s="1"/>
  <c r="AG26" i="4"/>
  <c r="AG31" i="4"/>
  <c r="AG21" i="4"/>
  <c r="Z26" i="4"/>
  <c r="Z27" i="4" s="1"/>
  <c r="Z31" i="4"/>
  <c r="Z32" i="4" s="1"/>
  <c r="Z21" i="4"/>
  <c r="Z22" i="4" s="1"/>
  <c r="S31" i="4"/>
  <c r="S32" i="4" s="1"/>
  <c r="S21" i="4"/>
  <c r="S22" i="4" s="1"/>
  <c r="S26" i="4"/>
  <c r="S27" i="4" s="1"/>
  <c r="L31" i="4"/>
  <c r="L32" i="4" s="1"/>
  <c r="L21" i="4"/>
  <c r="L22" i="4" s="1"/>
  <c r="L26" i="4"/>
  <c r="L27" i="4" s="1"/>
  <c r="AN31" i="4"/>
  <c r="AN32" i="4" s="1"/>
  <c r="AN21" i="4"/>
  <c r="AN22" i="4" s="1"/>
  <c r="AN26" i="4"/>
  <c r="AN27" i="4" s="1"/>
  <c r="U31" i="4"/>
  <c r="U32" i="4" s="1"/>
  <c r="U21" i="4"/>
  <c r="U22" i="4" s="1"/>
  <c r="U26" i="4"/>
  <c r="U27" i="4" s="1"/>
  <c r="W31" i="4"/>
  <c r="W32" i="4" s="1"/>
  <c r="W21" i="4"/>
  <c r="W22" i="4" s="1"/>
  <c r="W26" i="4"/>
  <c r="W27" i="4" s="1"/>
  <c r="P15" i="4"/>
  <c r="P19" i="4" s="1"/>
  <c r="I13" i="4"/>
  <c r="I14" i="4" s="1"/>
  <c r="I15" i="4" s="1"/>
  <c r="I19" i="4" s="1"/>
  <c r="AO14" i="4"/>
  <c r="AO15" i="4" s="1"/>
  <c r="AO19" i="4" s="1"/>
  <c r="AV14" i="4"/>
  <c r="AV15" i="4" s="1"/>
  <c r="AV19" i="4" s="1"/>
  <c r="AU14" i="4"/>
  <c r="AU15" i="4" s="1"/>
  <c r="AU19" i="4" s="1"/>
  <c r="AP14" i="4"/>
  <c r="AP15" i="4" s="1"/>
  <c r="AP19" i="4" s="1"/>
  <c r="AT14" i="4"/>
  <c r="AT15" i="4" s="1"/>
  <c r="AT19" i="4" s="1"/>
  <c r="AS14" i="4"/>
  <c r="AS15" i="4" s="1"/>
  <c r="AS19" i="4" s="1"/>
  <c r="AQ14" i="4"/>
  <c r="AQ15" i="4" s="1"/>
  <c r="AQ19" i="4" s="1"/>
  <c r="AR14" i="4"/>
  <c r="AR15" i="4" s="1"/>
  <c r="AR19" i="4" s="1"/>
  <c r="B14" i="4"/>
  <c r="B15" i="4" s="1"/>
  <c r="B19" i="4" s="1"/>
  <c r="C14" i="4"/>
  <c r="C15" i="4" s="1"/>
  <c r="C19" i="4" s="1"/>
  <c r="G14" i="4"/>
  <c r="G15" i="4" s="1"/>
  <c r="G19" i="4" s="1"/>
  <c r="H14" i="4"/>
  <c r="H15" i="4" s="1"/>
  <c r="H19" i="4" s="1"/>
  <c r="F14" i="4"/>
  <c r="F15" i="4" s="1"/>
  <c r="F19" i="4" s="1"/>
  <c r="Q14" i="4"/>
  <c r="Q15" i="4" s="1"/>
  <c r="Q19" i="4" s="1"/>
  <c r="AW13" i="4"/>
  <c r="D28" i="2"/>
  <c r="D30" i="2" s="1"/>
  <c r="E30" i="2" s="1"/>
  <c r="B28" i="2"/>
  <c r="B30" i="2" s="1"/>
  <c r="C30" i="2" s="1"/>
  <c r="Y27" i="4" l="1"/>
  <c r="R28" i="4"/>
  <c r="AG22" i="4"/>
  <c r="Z23" i="4"/>
  <c r="Y32" i="4"/>
  <c r="R33" i="4"/>
  <c r="AG32" i="4"/>
  <c r="Z33" i="4"/>
  <c r="AG27" i="4"/>
  <c r="Z28" i="4"/>
  <c r="Y22" i="4"/>
  <c r="R23" i="4"/>
  <c r="AR31" i="4"/>
  <c r="AR32" i="4" s="1"/>
  <c r="AR21" i="4"/>
  <c r="AR22" i="4" s="1"/>
  <c r="AR26" i="4"/>
  <c r="AR27" i="4" s="1"/>
  <c r="AS31" i="4"/>
  <c r="AS32" i="4" s="1"/>
  <c r="AS21" i="4"/>
  <c r="AS22" i="4" s="1"/>
  <c r="AS26" i="4"/>
  <c r="AS27" i="4" s="1"/>
  <c r="AO31" i="4"/>
  <c r="AO21" i="4"/>
  <c r="AO26" i="4"/>
  <c r="AQ31" i="4"/>
  <c r="AQ32" i="4" s="1"/>
  <c r="AQ21" i="4"/>
  <c r="AQ22" i="4" s="1"/>
  <c r="AQ26" i="4"/>
  <c r="AQ27" i="4" s="1"/>
  <c r="I31" i="4"/>
  <c r="I21" i="4"/>
  <c r="I26" i="4"/>
  <c r="P31" i="4"/>
  <c r="P32" i="4" s="1"/>
  <c r="P21" i="4"/>
  <c r="P22" i="4" s="1"/>
  <c r="P26" i="4"/>
  <c r="P27" i="4" s="1"/>
  <c r="Q26" i="4"/>
  <c r="Q31" i="4"/>
  <c r="Q21" i="4"/>
  <c r="AP26" i="4"/>
  <c r="AP27" i="4" s="1"/>
  <c r="AP31" i="4"/>
  <c r="AP32" i="4" s="1"/>
  <c r="AP21" i="4"/>
  <c r="AP22" i="4" s="1"/>
  <c r="AT31" i="4"/>
  <c r="AT32" i="4" s="1"/>
  <c r="AT21" i="4"/>
  <c r="AT22" i="4" s="1"/>
  <c r="AT26" i="4"/>
  <c r="AT27" i="4" s="1"/>
  <c r="H31" i="4"/>
  <c r="H32" i="4" s="1"/>
  <c r="H21" i="4"/>
  <c r="H22" i="4" s="1"/>
  <c r="H26" i="4"/>
  <c r="H27" i="4" s="1"/>
  <c r="G31" i="4"/>
  <c r="G32" i="4" s="1"/>
  <c r="G21" i="4"/>
  <c r="G22" i="4" s="1"/>
  <c r="G26" i="4"/>
  <c r="G27" i="4" s="1"/>
  <c r="AU31" i="4"/>
  <c r="AU32" i="4" s="1"/>
  <c r="AU21" i="4"/>
  <c r="AU22" i="4" s="1"/>
  <c r="AU26" i="4"/>
  <c r="AU27" i="4" s="1"/>
  <c r="B26" i="4"/>
  <c r="B27" i="4" s="1"/>
  <c r="B31" i="4"/>
  <c r="B32" i="4" s="1"/>
  <c r="B21" i="4"/>
  <c r="B22" i="4" s="1"/>
  <c r="F31" i="4"/>
  <c r="F32" i="4" s="1"/>
  <c r="F21" i="4"/>
  <c r="F22" i="4" s="1"/>
  <c r="F26" i="4"/>
  <c r="F27" i="4" s="1"/>
  <c r="C31" i="4"/>
  <c r="C32" i="4" s="1"/>
  <c r="C21" i="4"/>
  <c r="C22" i="4" s="1"/>
  <c r="C26" i="4"/>
  <c r="C27" i="4" s="1"/>
  <c r="AV31" i="4"/>
  <c r="AV32" i="4" s="1"/>
  <c r="AV21" i="4"/>
  <c r="AV22" i="4" s="1"/>
  <c r="AV26" i="4"/>
  <c r="AV27" i="4" s="1"/>
  <c r="AW14" i="4"/>
  <c r="AW15" i="4" s="1"/>
  <c r="AW19" i="4" s="1"/>
  <c r="R34" i="4" l="1"/>
  <c r="Z34" i="4"/>
  <c r="R24" i="4"/>
  <c r="Z24" i="4"/>
  <c r="Z29" i="4"/>
  <c r="R29" i="4"/>
  <c r="Q32" i="4"/>
  <c r="J33" i="4"/>
  <c r="AO27" i="4"/>
  <c r="AH28" i="4"/>
  <c r="I27" i="4"/>
  <c r="B28" i="4"/>
  <c r="AO32" i="4"/>
  <c r="AH33" i="4"/>
  <c r="Q27" i="4"/>
  <c r="J28" i="4"/>
  <c r="AO22" i="4"/>
  <c r="AH23" i="4"/>
  <c r="I32" i="4"/>
  <c r="B33" i="4"/>
  <c r="Q22" i="4"/>
  <c r="J23" i="4"/>
  <c r="I22" i="4"/>
  <c r="B23" i="4"/>
  <c r="AW26" i="4"/>
  <c r="AW31" i="4"/>
  <c r="AW21" i="4"/>
  <c r="R36" i="4" l="1"/>
  <c r="B34" i="4"/>
  <c r="B24" i="4"/>
  <c r="J24" i="4"/>
  <c r="Z36" i="4"/>
  <c r="J29" i="4"/>
  <c r="AH34" i="4"/>
  <c r="J34" i="4"/>
  <c r="AH24" i="4"/>
  <c r="AH29" i="4"/>
  <c r="B29" i="4"/>
  <c r="AW22" i="4"/>
  <c r="AP23" i="4"/>
  <c r="AW32" i="4"/>
  <c r="AP33" i="4"/>
  <c r="AW27" i="4"/>
  <c r="AP28" i="4"/>
  <c r="H40" i="4" l="1"/>
  <c r="H41" i="4" s="1"/>
  <c r="H43" i="4" s="1"/>
  <c r="B36" i="4"/>
  <c r="J36" i="4"/>
  <c r="AH36" i="4"/>
  <c r="AP24" i="4"/>
  <c r="AP34" i="4"/>
  <c r="AP29" i="4"/>
  <c r="K50" i="4" l="1"/>
  <c r="B40" i="4"/>
  <c r="B41" i="4" s="1"/>
  <c r="E50" i="4" s="1"/>
  <c r="AP36" i="4"/>
  <c r="N40" i="4" s="1"/>
  <c r="N41" i="4" s="1"/>
  <c r="B43" i="4" l="1"/>
  <c r="N43" i="4"/>
  <c r="Q50" i="4"/>
  <c r="B53" i="4" l="1"/>
  <c r="B54" i="4" s="1"/>
  <c r="B55" i="4" s="1"/>
  <c r="B57" i="4" s="1"/>
  <c r="C5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Xavier Davis</author>
  </authors>
  <commentList>
    <comment ref="A6" authorId="0" shapeId="0" xr:uid="{E9CD2334-E6D0-4DCD-951C-AAF7CF2E3C5A}">
      <text>
        <r>
          <rPr>
            <b/>
            <sz val="9"/>
            <color indexed="81"/>
            <rFont val="Tahoma"/>
            <family val="2"/>
          </rPr>
          <t>Xavier Davis:</t>
        </r>
        <r>
          <rPr>
            <sz val="9"/>
            <color indexed="81"/>
            <rFont val="Tahoma"/>
            <family val="2"/>
          </rPr>
          <t xml:space="preserve">
parameter limited form of A(t) = =L/s2t​−(L/st​)2 where L = years to fully adopt, s = adoption rate factor, t = years since launch</t>
        </r>
      </text>
    </comment>
    <comment ref="A10" authorId="0" shapeId="0" xr:uid="{7B9D0CDD-7D4C-4335-AC71-86867C25BCE8}">
      <text>
        <r>
          <rPr>
            <b/>
            <sz val="9"/>
            <color indexed="81"/>
            <rFont val="Tahoma"/>
            <family val="2"/>
          </rPr>
          <t>Xavier Davis:</t>
        </r>
        <r>
          <rPr>
            <sz val="9"/>
            <color indexed="81"/>
            <rFont val="Tahoma"/>
            <family val="2"/>
          </rPr>
          <t xml:space="preserve">
All products are in clinical validation stages. - highest cost development
</t>
        </r>
      </text>
    </comment>
    <comment ref="A36" authorId="0" shapeId="0" xr:uid="{4E646735-E33B-4E2C-B747-E1A692276AA1}">
      <text>
        <r>
          <rPr>
            <b/>
            <sz val="9"/>
            <color indexed="81"/>
            <rFont val="Tahoma"/>
            <family val="2"/>
          </rPr>
          <t>Xavier Davis:</t>
        </r>
        <r>
          <rPr>
            <sz val="9"/>
            <color indexed="81"/>
            <rFont val="Tahoma"/>
            <family val="2"/>
          </rPr>
          <t xml:space="preserve">
Using 20/60/20 weighting on Bear/Central/Bull
</t>
        </r>
      </text>
    </comment>
  </commentList>
</comments>
</file>

<file path=xl/sharedStrings.xml><?xml version="1.0" encoding="utf-8"?>
<sst xmlns="http://schemas.openxmlformats.org/spreadsheetml/2006/main" count="196" uniqueCount="129">
  <si>
    <t>FY</t>
  </si>
  <si>
    <t>Tax Rate</t>
  </si>
  <si>
    <t>WACC</t>
  </si>
  <si>
    <t>EBIT</t>
  </si>
  <si>
    <t>Depreciation and Amortisation</t>
  </si>
  <si>
    <t>Capital Expenditure</t>
  </si>
  <si>
    <t>Free Cash Flow</t>
  </si>
  <si>
    <t>Net Operating Profit After Tax</t>
  </si>
  <si>
    <t>Cost of Debt</t>
  </si>
  <si>
    <t>Market Value of Debt</t>
  </si>
  <si>
    <t>Cost of Equity</t>
  </si>
  <si>
    <t>Market Value of Equity</t>
  </si>
  <si>
    <t>Current Share Price</t>
  </si>
  <si>
    <t>Beta</t>
  </si>
  <si>
    <t>Equity Risk Premium</t>
  </si>
  <si>
    <t>Risk Free Rate</t>
  </si>
  <si>
    <t>Perpetuity Growth</t>
  </si>
  <si>
    <t>Discounted Value</t>
  </si>
  <si>
    <t>Enterprise Value</t>
  </si>
  <si>
    <t>Equity Value</t>
  </si>
  <si>
    <t>Current price</t>
  </si>
  <si>
    <t>Upside</t>
  </si>
  <si>
    <t>Bull</t>
  </si>
  <si>
    <t>Case:</t>
  </si>
  <si>
    <t>Net Debt</t>
  </si>
  <si>
    <t>Net Debt:</t>
  </si>
  <si>
    <t>Short Term Debt</t>
  </si>
  <si>
    <t>Long Term Debt</t>
  </si>
  <si>
    <t>Current Portion of Long Term Debt</t>
  </si>
  <si>
    <t>Current Portion of Leases</t>
  </si>
  <si>
    <t>Pension and Post-Retirement Bonuses</t>
  </si>
  <si>
    <t>Other Long-Term Liabilities</t>
  </si>
  <si>
    <t>Long-Term Deffered  Tax Liabilities</t>
  </si>
  <si>
    <t>Cash and Equivalents</t>
  </si>
  <si>
    <t>Long Term Investments</t>
  </si>
  <si>
    <t>Long Term Leases</t>
  </si>
  <si>
    <t>Bear</t>
  </si>
  <si>
    <t>Central</t>
  </si>
  <si>
    <t>Equity Value:</t>
  </si>
  <si>
    <t>Enterprise Value:</t>
  </si>
  <si>
    <t>Shares Outstanding</t>
  </si>
  <si>
    <t>Impact of Dilutive Shares</t>
  </si>
  <si>
    <t>Diluted Shares Outstanding</t>
  </si>
  <si>
    <t>Upside:</t>
  </si>
  <si>
    <t>Present Value of Terminal Value</t>
  </si>
  <si>
    <t>Perpetuity</t>
  </si>
  <si>
    <t>Multiple Method</t>
  </si>
  <si>
    <t>Perpetuity Approach</t>
  </si>
  <si>
    <t>EV/EBITDA Multiple</t>
  </si>
  <si>
    <t>EBITDA Multiple Approach</t>
  </si>
  <si>
    <t>Orthopaedics</t>
  </si>
  <si>
    <t>Sports Med and ENT</t>
  </si>
  <si>
    <t>Advanced Wound</t>
  </si>
  <si>
    <t>Revenue</t>
  </si>
  <si>
    <t>Net Operating Profit after Tax</t>
  </si>
  <si>
    <t>Equity Value per Ordinary Share</t>
  </si>
  <si>
    <t>Equity Value Per ADR Share</t>
  </si>
  <si>
    <t>EqV Per ADR Share:</t>
  </si>
  <si>
    <t>EBIT Margin</t>
  </si>
  <si>
    <t>D&amp;A Proportion</t>
  </si>
  <si>
    <t>Totals</t>
  </si>
  <si>
    <t>Segment Spending Proportion</t>
  </si>
  <si>
    <t>Discounted FCF</t>
  </si>
  <si>
    <t>Segment Enterprise Value</t>
  </si>
  <si>
    <t>Implied Equity Value</t>
  </si>
  <si>
    <t>Equity Value per ADR Share</t>
  </si>
  <si>
    <t>Share Price</t>
  </si>
  <si>
    <t>WACC:</t>
  </si>
  <si>
    <t>Adoption Speed</t>
  </si>
  <si>
    <t>AGILI-C Cartilage Implant (Sports Med)</t>
  </si>
  <si>
    <t>REGENETEN – Extra-articular Ligaments (Sports Med)</t>
  </si>
  <si>
    <t>CORIOGRAPH Pre-Op Planning (Orthopaedics)</t>
  </si>
  <si>
    <t>LEGION TKS Medial-Stabilised Insert (Orthopaedics)</t>
  </si>
  <si>
    <t>ALLEVYN COMPLETE CARE 5-Layer Foam (Advanced Wound)</t>
  </si>
  <si>
    <t>CENTRIO PRP System (Advanced Wound)</t>
  </si>
  <si>
    <t>Asset / Segment</t>
  </si>
  <si>
    <t>Targeted Launch</t>
  </si>
  <si>
    <t>Annual Price Erosion</t>
  </si>
  <si>
    <t>Estimated EBIT Margin</t>
  </si>
  <si>
    <t>Maintainance CapEx</t>
  </si>
  <si>
    <t>NWC increase per Sale</t>
  </si>
  <si>
    <t>Segmental TAM</t>
  </si>
  <si>
    <t>Segment Share</t>
  </si>
  <si>
    <t>Fixed Cost Fraction</t>
  </si>
  <si>
    <t>Variable Cost Fraction</t>
  </si>
  <si>
    <t>Adoption Curve</t>
  </si>
  <si>
    <t>Years to Fully Adopt</t>
  </si>
  <si>
    <t>Modelled by:y=-x^2+2x</t>
  </si>
  <si>
    <t>Implied  TAM</t>
  </si>
  <si>
    <t>Novel Revenue</t>
  </si>
  <si>
    <t>Perpetual Growth</t>
  </si>
  <si>
    <t>Returning Revenue</t>
  </si>
  <si>
    <t>Total Annual Revenue</t>
  </si>
  <si>
    <t>Tax</t>
  </si>
  <si>
    <t>Clinical Validation Costs</t>
  </si>
  <si>
    <t>Regulatory Costs</t>
  </si>
  <si>
    <t>Fixed Operating Costs</t>
  </si>
  <si>
    <t>Variable Operating Costs</t>
  </si>
  <si>
    <t>R</t>
  </si>
  <si>
    <t>L</t>
  </si>
  <si>
    <t>Al</t>
  </si>
  <si>
    <t>Ag</t>
  </si>
  <si>
    <t>Ce</t>
  </si>
  <si>
    <t>Co</t>
  </si>
  <si>
    <t>Research &amp; Development</t>
  </si>
  <si>
    <t>Annual Change in NWC</t>
  </si>
  <si>
    <t>Change in Net Working Capital</t>
  </si>
  <si>
    <t>Change in Net  Working Capital</t>
  </si>
  <si>
    <t>Capital Expenditures</t>
  </si>
  <si>
    <t>Price Erosion</t>
  </si>
  <si>
    <t>Sales Multiplier</t>
  </si>
  <si>
    <t>Retention</t>
  </si>
  <si>
    <t>Success</t>
  </si>
  <si>
    <t>Bear Risked FCF</t>
  </si>
  <si>
    <t>Discounted Bear Risked FCF</t>
  </si>
  <si>
    <t>Central Risked FCF</t>
  </si>
  <si>
    <t>Discounted Central Risked FCF</t>
  </si>
  <si>
    <t>Bull Risked FCF</t>
  </si>
  <si>
    <t>Discounted Bull Risked FCF</t>
  </si>
  <si>
    <t>Discounted Terminal Value</t>
  </si>
  <si>
    <t>Bear NPV</t>
  </si>
  <si>
    <t>Central NPV</t>
  </si>
  <si>
    <t>Bull NPV</t>
  </si>
  <si>
    <t>Weighted rNPV</t>
  </si>
  <si>
    <t>Segment:</t>
  </si>
  <si>
    <t>SportsMed</t>
  </si>
  <si>
    <t>Current NPV</t>
  </si>
  <si>
    <t>Addional rNPV</t>
  </si>
  <si>
    <t>Pipeline Segmental rNPV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</si>
</sst>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£&quot;* #,##0.00_-;\-&quot;£&quot;* #,##0.00_-;_-&quot;£&quot;* &quot;-&quot;??_-;_-@_-"/>
    <numFmt numFmtId="164" formatCode="0;\(0\);\-"/>
    <numFmt numFmtId="165" formatCode="[Color10]0.00%;[Red]\(0.00\)%;\-"/>
    <numFmt numFmtId="166" formatCode="0;[Red]\(0\);\-"/>
    <numFmt numFmtId="167" formatCode="[Color10]0%;[Red]\(0\)%;\-"/>
    <numFmt numFmtId="168" formatCode="[Color10]0.0%;[Red]\(0.0\)%;\-"/>
    <numFmt numFmtId="169" formatCode="0.0;\(0.0\);\-"/>
    <numFmt numFmtId="170" formatCode="_-[$$-409]* #,##0.00_ ;_-[$$-409]* \-#,##0.00\ ;_-[$$-409]* &quot;-&quot;??_ ;_-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  <font>
      <i/>
      <sz val="11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1118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2" borderId="1" applyNumberFormat="0" applyFont="0" applyAlignment="0" applyProtection="0"/>
    <xf numFmtId="9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44" fontId="1" fillId="0" borderId="0" applyFont="0" applyFill="0" applyBorder="0" applyAlignment="0" applyProtection="0"/>
  </cellStyleXfs>
  <cellXfs count="126">
    <xf numFmtId="0" fontId="0" fillId="0" borderId="0" xfId="0"/>
    <xf numFmtId="164" fontId="0" fillId="0" borderId="0" xfId="0" applyNumberFormat="1"/>
    <xf numFmtId="0" fontId="0" fillId="2" borderId="1" xfId="1" applyFont="1"/>
    <xf numFmtId="0" fontId="2" fillId="0" borderId="0" xfId="0" applyFont="1"/>
    <xf numFmtId="0" fontId="4" fillId="3" borderId="2" xfId="0" applyFont="1" applyFill="1" applyBorder="1"/>
    <xf numFmtId="164" fontId="2" fillId="0" borderId="0" xfId="0" applyNumberFormat="1" applyFont="1"/>
    <xf numFmtId="164" fontId="2" fillId="0" borderId="3" xfId="0" applyNumberFormat="1" applyFont="1" applyBorder="1"/>
    <xf numFmtId="1" fontId="0" fillId="2" borderId="1" xfId="1" applyNumberFormat="1" applyFont="1"/>
    <xf numFmtId="165" fontId="3" fillId="2" borderId="1" xfId="1" applyNumberFormat="1" applyFont="1"/>
    <xf numFmtId="2" fontId="2" fillId="0" borderId="0" xfId="0" applyNumberFormat="1" applyFont="1"/>
    <xf numFmtId="165" fontId="3" fillId="4" borderId="0" xfId="1" applyNumberFormat="1" applyFont="1" applyFill="1" applyBorder="1"/>
    <xf numFmtId="0" fontId="7" fillId="0" borderId="0" xfId="0" applyFont="1"/>
    <xf numFmtId="164" fontId="5" fillId="5" borderId="5" xfId="3" applyNumberFormat="1" applyBorder="1"/>
    <xf numFmtId="164" fontId="6" fillId="6" borderId="0" xfId="4" applyNumberFormat="1" applyBorder="1"/>
    <xf numFmtId="164" fontId="6" fillId="6" borderId="2" xfId="4" applyNumberFormat="1" applyBorder="1"/>
    <xf numFmtId="164" fontId="6" fillId="6" borderId="4" xfId="4" applyNumberFormat="1" applyBorder="1"/>
    <xf numFmtId="164" fontId="6" fillId="6" borderId="7" xfId="4" applyNumberFormat="1" applyBorder="1"/>
    <xf numFmtId="164" fontId="1" fillId="2" borderId="9" xfId="1" applyNumberFormat="1" applyFont="1" applyBorder="1"/>
    <xf numFmtId="164" fontId="1" fillId="2" borderId="4" xfId="1" applyNumberFormat="1" applyFont="1" applyBorder="1"/>
    <xf numFmtId="164" fontId="1" fillId="2" borderId="7" xfId="1" applyNumberFormat="1" applyFont="1" applyBorder="1"/>
    <xf numFmtId="164" fontId="1" fillId="2" borderId="6" xfId="1" applyNumberFormat="1" applyFont="1" applyBorder="1"/>
    <xf numFmtId="164" fontId="1" fillId="2" borderId="2" xfId="1" applyNumberFormat="1" applyFont="1" applyBorder="1"/>
    <xf numFmtId="164" fontId="1" fillId="2" borderId="8" xfId="1" applyNumberFormat="1" applyFont="1" applyBorder="1"/>
    <xf numFmtId="164" fontId="1" fillId="2" borderId="10" xfId="1" applyNumberFormat="1" applyFont="1" applyBorder="1"/>
    <xf numFmtId="164" fontId="1" fillId="2" borderId="3" xfId="1" applyNumberFormat="1" applyFont="1" applyBorder="1"/>
    <xf numFmtId="10" fontId="4" fillId="3" borderId="2" xfId="2" applyNumberFormat="1" applyFont="1" applyFill="1" applyBorder="1"/>
    <xf numFmtId="1" fontId="4" fillId="3" borderId="2" xfId="0" applyNumberFormat="1" applyFont="1" applyFill="1" applyBorder="1"/>
    <xf numFmtId="2" fontId="0" fillId="0" borderId="0" xfId="0" applyNumberFormat="1"/>
    <xf numFmtId="0" fontId="0" fillId="0" borderId="0" xfId="0" applyAlignment="1">
      <alignment horizontal="right"/>
    </xf>
    <xf numFmtId="0" fontId="7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2" fontId="0" fillId="2" borderId="1" xfId="1" applyNumberFormat="1" applyFont="1"/>
    <xf numFmtId="0" fontId="8" fillId="0" borderId="0" xfId="0" applyFont="1" applyAlignment="1">
      <alignment horizontal="centerContinuous"/>
    </xf>
    <xf numFmtId="0" fontId="0" fillId="2" borderId="1" xfId="1" applyFont="1" applyAlignment="1">
      <alignment horizontal="right"/>
    </xf>
    <xf numFmtId="0" fontId="4" fillId="3" borderId="2" xfId="0" applyFont="1" applyFill="1" applyBorder="1" applyAlignment="1">
      <alignment horizontal="centerContinuous"/>
    </xf>
    <xf numFmtId="0" fontId="4" fillId="3" borderId="7" xfId="0" applyFont="1" applyFill="1" applyBorder="1" applyAlignment="1">
      <alignment horizontal="centerContinuous"/>
    </xf>
    <xf numFmtId="0" fontId="0" fillId="0" borderId="4" xfId="0" applyBorder="1"/>
    <xf numFmtId="164" fontId="0" fillId="0" borderId="4" xfId="0" applyNumberFormat="1" applyBorder="1"/>
    <xf numFmtId="164" fontId="2" fillId="0" borderId="4" xfId="0" applyNumberFormat="1" applyFont="1" applyBorder="1"/>
    <xf numFmtId="0" fontId="2" fillId="0" borderId="0" xfId="0" applyFont="1" applyAlignment="1">
      <alignment horizontal="right"/>
    </xf>
    <xf numFmtId="0" fontId="2" fillId="0" borderId="3" xfId="0" applyFont="1" applyBorder="1" applyAlignment="1">
      <alignment horizontal="right"/>
    </xf>
    <xf numFmtId="0" fontId="0" fillId="0" borderId="4" xfId="0" applyBorder="1" applyAlignment="1">
      <alignment horizontal="right"/>
    </xf>
    <xf numFmtId="0" fontId="2" fillId="0" borderId="4" xfId="0" applyFont="1" applyBorder="1" applyAlignment="1">
      <alignment horizontal="right"/>
    </xf>
    <xf numFmtId="164" fontId="10" fillId="0" borderId="0" xfId="0" applyNumberFormat="1" applyFont="1"/>
    <xf numFmtId="165" fontId="11" fillId="2" borderId="1" xfId="1" applyNumberFormat="1" applyFont="1"/>
    <xf numFmtId="0" fontId="10" fillId="0" borderId="0" xfId="0" applyFont="1"/>
    <xf numFmtId="164" fontId="10" fillId="0" borderId="4" xfId="0" applyNumberFormat="1" applyFont="1" applyBorder="1"/>
    <xf numFmtId="164" fontId="10" fillId="0" borderId="9" xfId="0" applyNumberFormat="1" applyFont="1" applyBorder="1"/>
    <xf numFmtId="2" fontId="4" fillId="3" borderId="2" xfId="2" applyNumberFormat="1" applyFont="1" applyFill="1" applyBorder="1"/>
    <xf numFmtId="164" fontId="14" fillId="0" borderId="0" xfId="0" applyNumberFormat="1" applyFont="1"/>
    <xf numFmtId="0" fontId="10" fillId="0" borderId="0" xfId="0" applyFont="1" applyAlignment="1">
      <alignment horizontal="right"/>
    </xf>
    <xf numFmtId="1" fontId="0" fillId="0" borderId="0" xfId="0" applyNumberFormat="1"/>
    <xf numFmtId="1" fontId="0" fillId="0" borderId="4" xfId="0" applyNumberFormat="1" applyBorder="1"/>
    <xf numFmtId="164" fontId="13" fillId="0" borderId="0" xfId="0" applyNumberFormat="1" applyFont="1"/>
    <xf numFmtId="164" fontId="15" fillId="2" borderId="1" xfId="1" applyNumberFormat="1" applyFont="1"/>
    <xf numFmtId="164" fontId="15" fillId="2" borderId="1" xfId="1" applyNumberFormat="1" applyFont="1" applyAlignment="1">
      <alignment horizontal="center"/>
    </xf>
    <xf numFmtId="164" fontId="10" fillId="2" borderId="1" xfId="1" applyNumberFormat="1" applyFont="1"/>
    <xf numFmtId="164" fontId="14" fillId="2" borderId="1" xfId="1" applyNumberFormat="1" applyFont="1"/>
    <xf numFmtId="0" fontId="0" fillId="0" borderId="9" xfId="0" applyBorder="1" applyAlignment="1">
      <alignment horizontal="right"/>
    </xf>
    <xf numFmtId="164" fontId="0" fillId="0" borderId="3" xfId="0" applyNumberFormat="1" applyBorder="1"/>
    <xf numFmtId="164" fontId="0" fillId="0" borderId="9" xfId="0" applyNumberFormat="1" applyBorder="1"/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2" fillId="0" borderId="0" xfId="0" applyFont="1" applyAlignment="1">
      <alignment horizontal="centerContinuous"/>
    </xf>
    <xf numFmtId="1" fontId="0" fillId="0" borderId="0" xfId="0" applyNumberFormat="1" applyAlignment="1">
      <alignment horizontal="centerContinuous"/>
    </xf>
    <xf numFmtId="2" fontId="0" fillId="0" borderId="0" xfId="0" applyNumberFormat="1" applyAlignment="1">
      <alignment horizontal="centerContinuous"/>
    </xf>
    <xf numFmtId="0" fontId="0" fillId="2" borderId="0" xfId="1" applyFont="1" applyBorder="1"/>
    <xf numFmtId="0" fontId="0" fillId="2" borderId="2" xfId="1" applyFont="1" applyBorder="1"/>
    <xf numFmtId="0" fontId="9" fillId="3" borderId="0" xfId="0" applyFont="1" applyFill="1" applyAlignment="1">
      <alignment horizontal="centerContinuous"/>
    </xf>
    <xf numFmtId="166" fontId="0" fillId="0" borderId="0" xfId="0" applyNumberFormat="1"/>
    <xf numFmtId="0" fontId="0" fillId="0" borderId="10" xfId="0" applyBorder="1"/>
    <xf numFmtId="166" fontId="0" fillId="0" borderId="10" xfId="0" applyNumberFormat="1" applyBorder="1"/>
    <xf numFmtId="0" fontId="0" fillId="0" borderId="6" xfId="0" applyBorder="1"/>
    <xf numFmtId="166" fontId="0" fillId="0" borderId="4" xfId="0" applyNumberFormat="1" applyBorder="1"/>
    <xf numFmtId="166" fontId="2" fillId="0" borderId="0" xfId="0" applyNumberFormat="1" applyFont="1"/>
    <xf numFmtId="167" fontId="19" fillId="0" borderId="0" xfId="2" applyNumberFormat="1" applyFont="1" applyBorder="1"/>
    <xf numFmtId="167" fontId="19" fillId="0" borderId="4" xfId="2" applyNumberFormat="1" applyFont="1" applyBorder="1"/>
    <xf numFmtId="168" fontId="19" fillId="0" borderId="0" xfId="2" applyNumberFormat="1" applyFont="1" applyBorder="1"/>
    <xf numFmtId="168" fontId="19" fillId="0" borderId="4" xfId="2" applyNumberFormat="1" applyFont="1" applyBorder="1"/>
    <xf numFmtId="166" fontId="12" fillId="0" borderId="2" xfId="0" applyNumberFormat="1" applyFont="1" applyBorder="1"/>
    <xf numFmtId="166" fontId="12" fillId="0" borderId="7" xfId="0" applyNumberFormat="1" applyFont="1" applyBorder="1"/>
    <xf numFmtId="170" fontId="0" fillId="0" borderId="0" xfId="0" applyNumberFormat="1"/>
    <xf numFmtId="170" fontId="2" fillId="0" borderId="0" xfId="0" applyNumberFormat="1" applyFont="1"/>
    <xf numFmtId="170" fontId="0" fillId="0" borderId="0" xfId="5" applyNumberFormat="1" applyFont="1"/>
    <xf numFmtId="170" fontId="12" fillId="0" borderId="0" xfId="0" applyNumberFormat="1" applyFont="1"/>
    <xf numFmtId="166" fontId="12" fillId="0" borderId="0" xfId="0" applyNumberFormat="1" applyFont="1"/>
    <xf numFmtId="165" fontId="3" fillId="0" borderId="0" xfId="2" applyNumberFormat="1" applyFont="1" applyBorder="1"/>
    <xf numFmtId="167" fontId="3" fillId="2" borderId="0" xfId="1" applyNumberFormat="1" applyFont="1" applyBorder="1"/>
    <xf numFmtId="169" fontId="0" fillId="2" borderId="0" xfId="1" applyNumberFormat="1" applyFont="1" applyBorder="1"/>
    <xf numFmtId="169" fontId="2" fillId="0" borderId="0" xfId="0" applyNumberFormat="1" applyFont="1"/>
    <xf numFmtId="169" fontId="0" fillId="0" borderId="0" xfId="0" applyNumberFormat="1"/>
    <xf numFmtId="167" fontId="1" fillId="0" borderId="0" xfId="2" applyNumberFormat="1" applyFont="1" applyBorder="1"/>
    <xf numFmtId="165" fontId="1" fillId="0" borderId="0" xfId="2" applyNumberFormat="1" applyFont="1" applyBorder="1"/>
    <xf numFmtId="166" fontId="18" fillId="0" borderId="0" xfId="0" applyNumberFormat="1" applyFont="1"/>
    <xf numFmtId="165" fontId="3" fillId="2" borderId="5" xfId="1" applyNumberFormat="1" applyFont="1" applyBorder="1"/>
    <xf numFmtId="169" fontId="0" fillId="2" borderId="2" xfId="1" applyNumberFormat="1" applyFont="1" applyBorder="1"/>
    <xf numFmtId="169" fontId="0" fillId="2" borderId="5" xfId="1" applyNumberFormat="1" applyFont="1" applyBorder="1"/>
    <xf numFmtId="169" fontId="0" fillId="2" borderId="11" xfId="1" applyNumberFormat="1" applyFont="1" applyBorder="1"/>
    <xf numFmtId="169" fontId="0" fillId="2" borderId="12" xfId="1" applyNumberFormat="1" applyFont="1" applyBorder="1"/>
    <xf numFmtId="169" fontId="0" fillId="2" borderId="13" xfId="1" applyNumberFormat="1" applyFont="1" applyBorder="1"/>
    <xf numFmtId="165" fontId="3" fillId="2" borderId="4" xfId="1" applyNumberFormat="1" applyFont="1" applyBorder="1"/>
    <xf numFmtId="168" fontId="3" fillId="2" borderId="4" xfId="1" applyNumberFormat="1" applyFont="1" applyBorder="1"/>
    <xf numFmtId="169" fontId="0" fillId="2" borderId="14" xfId="1" applyNumberFormat="1" applyFont="1" applyBorder="1"/>
    <xf numFmtId="167" fontId="3" fillId="2" borderId="2" xfId="1" applyNumberFormat="1" applyFont="1" applyBorder="1"/>
    <xf numFmtId="168" fontId="3" fillId="2" borderId="7" xfId="1" applyNumberFormat="1" applyFont="1" applyBorder="1"/>
    <xf numFmtId="0" fontId="9" fillId="3" borderId="3" xfId="0" applyFont="1" applyFill="1" applyBorder="1" applyAlignment="1">
      <alignment horizontal="centerContinuous"/>
    </xf>
    <xf numFmtId="0" fontId="9" fillId="3" borderId="9" xfId="0" applyFont="1" applyFill="1" applyBorder="1" applyAlignment="1">
      <alignment horizontal="centerContinuous"/>
    </xf>
    <xf numFmtId="166" fontId="12" fillId="0" borderId="4" xfId="0" applyNumberFormat="1" applyFont="1" applyBorder="1"/>
    <xf numFmtId="0" fontId="9" fillId="3" borderId="3" xfId="0" applyFont="1" applyFill="1" applyBorder="1" applyAlignment="1">
      <alignment horizontal="left"/>
    </xf>
    <xf numFmtId="164" fontId="2" fillId="0" borderId="0" xfId="0" applyNumberFormat="1" applyFont="1" applyAlignment="1">
      <alignment horizontal="right"/>
    </xf>
    <xf numFmtId="164" fontId="0" fillId="0" borderId="10" xfId="0" applyNumberFormat="1" applyBorder="1"/>
    <xf numFmtId="166" fontId="0" fillId="0" borderId="0" xfId="0" applyNumberFormat="1" applyAlignment="1">
      <alignment horizontal="right"/>
    </xf>
    <xf numFmtId="166" fontId="0" fillId="0" borderId="0" xfId="0" applyNumberFormat="1" applyAlignment="1">
      <alignment horizontal="left"/>
    </xf>
    <xf numFmtId="0" fontId="0" fillId="0" borderId="4" xfId="0" applyBorder="1" applyAlignment="1">
      <alignment horizontal="right" vertical="top"/>
    </xf>
    <xf numFmtId="0" fontId="9" fillId="3" borderId="4" xfId="0" applyFont="1" applyFill="1" applyBorder="1" applyAlignment="1">
      <alignment horizontal="right" vertical="top"/>
    </xf>
    <xf numFmtId="167" fontId="3" fillId="0" borderId="4" xfId="2" applyNumberFormat="1" applyFont="1" applyBorder="1" applyAlignment="1">
      <alignment horizontal="right" vertical="top"/>
    </xf>
    <xf numFmtId="166" fontId="2" fillId="0" borderId="4" xfId="0" applyNumberFormat="1" applyFont="1" applyBorder="1" applyAlignment="1">
      <alignment horizontal="right" vertical="top"/>
    </xf>
    <xf numFmtId="166" fontId="0" fillId="0" borderId="4" xfId="0" applyNumberForma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167" fontId="1" fillId="0" borderId="4" xfId="2" applyNumberFormat="1" applyFont="1" applyBorder="1" applyAlignment="1">
      <alignment horizontal="right" vertical="top"/>
    </xf>
    <xf numFmtId="164" fontId="2" fillId="0" borderId="4" xfId="0" applyNumberFormat="1" applyFont="1" applyBorder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4" fillId="3" borderId="2" xfId="0" applyFont="1" applyFill="1" applyBorder="1" applyAlignment="1">
      <alignment horizontal="right"/>
    </xf>
    <xf numFmtId="0" fontId="9" fillId="3" borderId="2" xfId="0" applyFont="1" applyFill="1" applyBorder="1" applyAlignment="1">
      <alignment horizontal="right"/>
    </xf>
    <xf numFmtId="0" fontId="7" fillId="0" borderId="4" xfId="0" applyFont="1" applyBorder="1" applyAlignment="1">
      <alignment horizontal="center" vertical="top"/>
    </xf>
    <xf numFmtId="170" fontId="0" fillId="0" borderId="0" xfId="0" applyNumberFormat="1" applyAlignment="1">
      <alignment horizontal="right"/>
    </xf>
  </cellXfs>
  <cellStyles count="6">
    <cellStyle name="Bad" xfId="4" builtinId="27"/>
    <cellStyle name="Currency" xfId="5" builtinId="4"/>
    <cellStyle name="Good" xfId="3" builtinId="26"/>
    <cellStyle name="Normal" xfId="0" builtinId="0"/>
    <cellStyle name="Note" xfId="1" builtinId="10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b10f4a09bcef627/Documents/GitHub/XD_Grad_Portfolio/models/3_Statement_Model.xlsx" TargetMode="External"/><Relationship Id="rId1" Type="http://schemas.openxmlformats.org/officeDocument/2006/relationships/externalLinkPath" Target="3_Statement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 Statement"/>
      <sheetName val="Balance Sheet"/>
      <sheetName val="Cash Flow"/>
    </sheetNames>
    <sheetDataSet>
      <sheetData sheetId="0">
        <row r="2">
          <cell r="F2">
            <v>5810</v>
          </cell>
        </row>
        <row r="8">
          <cell r="F8">
            <v>886</v>
          </cell>
          <cell r="G8">
            <v>865.81174197145447</v>
          </cell>
          <cell r="H8">
            <v>920.46118290715049</v>
          </cell>
          <cell r="I8">
            <v>978.74063885457053</v>
          </cell>
          <cell r="J8">
            <v>1040.9023874430359</v>
          </cell>
          <cell r="K8">
            <v>1107.2169098036211</v>
          </cell>
          <cell r="N8">
            <v>0.5</v>
          </cell>
        </row>
        <row r="24">
          <cell r="F24">
            <v>873</v>
          </cell>
        </row>
        <row r="25">
          <cell r="F25">
            <v>876</v>
          </cell>
        </row>
        <row r="39">
          <cell r="F39">
            <v>449</v>
          </cell>
          <cell r="G39">
            <v>474.10524395977473</v>
          </cell>
          <cell r="H39">
            <v>504.03044047892519</v>
          </cell>
          <cell r="I39">
            <v>535.94337759950497</v>
          </cell>
          <cell r="J39">
            <v>569.98219868593901</v>
          </cell>
          <cell r="K39">
            <v>606.29501506130021</v>
          </cell>
        </row>
        <row r="40">
          <cell r="F40">
            <v>1335</v>
          </cell>
        </row>
        <row r="43">
          <cell r="F43">
            <v>2305</v>
          </cell>
          <cell r="G43">
            <v>2413.6991302341535</v>
          </cell>
          <cell r="H43">
            <v>2527.5242912334529</v>
          </cell>
          <cell r="I43">
            <v>2646.7172162238094</v>
          </cell>
          <cell r="J43">
            <v>2771.5310380803335</v>
          </cell>
          <cell r="K43">
            <v>2902.230826911697</v>
          </cell>
        </row>
        <row r="44">
          <cell r="F44">
            <v>1824</v>
          </cell>
          <cell r="G44">
            <v>1972.7566005307594</v>
          </cell>
          <cell r="H44">
            <v>2133.6450684965343</v>
          </cell>
          <cell r="I44">
            <v>2307.6548202118656</v>
          </cell>
          <cell r="J44">
            <v>2495.8559639909986</v>
          </cell>
          <cell r="K44">
            <v>2699.405880996329</v>
          </cell>
        </row>
        <row r="45">
          <cell r="F45">
            <v>1681</v>
          </cell>
          <cell r="G45">
            <v>1789.1296699937484</v>
          </cell>
          <cell r="H45">
            <v>1904.2147388768226</v>
          </cell>
          <cell r="I45">
            <v>2026.7026099725886</v>
          </cell>
          <cell r="J45">
            <v>2157.0694656488554</v>
          </cell>
          <cell r="K45">
            <v>2295.8221185186958</v>
          </cell>
        </row>
      </sheetData>
      <sheetData sheetId="1">
        <row r="3">
          <cell r="F3">
            <v>619</v>
          </cell>
        </row>
        <row r="7">
          <cell r="N7">
            <v>0.10567499999999999</v>
          </cell>
        </row>
        <row r="12">
          <cell r="F12">
            <v>16</v>
          </cell>
        </row>
        <row r="22">
          <cell r="F22">
            <v>2</v>
          </cell>
        </row>
        <row r="23">
          <cell r="F23">
            <v>0</v>
          </cell>
        </row>
        <row r="24">
          <cell r="F24">
            <v>61</v>
          </cell>
        </row>
        <row r="28">
          <cell r="F28">
            <v>3123</v>
          </cell>
        </row>
        <row r="29">
          <cell r="F29">
            <v>135</v>
          </cell>
        </row>
        <row r="30">
          <cell r="F30">
            <v>79</v>
          </cell>
        </row>
        <row r="31">
          <cell r="F31">
            <v>31</v>
          </cell>
        </row>
        <row r="32">
          <cell r="F32">
            <v>190</v>
          </cell>
        </row>
        <row r="49">
          <cell r="F49">
            <v>2986</v>
          </cell>
        </row>
        <row r="52">
          <cell r="G52">
            <v>149.35645811619816</v>
          </cell>
        </row>
        <row r="53">
          <cell r="F53">
            <v>-381</v>
          </cell>
          <cell r="G53">
            <v>-477.50310262561572</v>
          </cell>
          <cell r="H53">
            <v>-507.64276964391172</v>
          </cell>
          <cell r="I53">
            <v>-539.78442317572933</v>
          </cell>
          <cell r="J53">
            <v>-574.06719664336379</v>
          </cell>
          <cell r="K53">
            <v>-610.64026286698993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E0D3-EC22-43DB-ABCF-85A4F712E8DB}">
  <dimension ref="A1:O37"/>
  <sheetViews>
    <sheetView showGridLines="0" workbookViewId="0">
      <pane xSplit="1" topLeftCell="B1" activePane="topRight" state="frozen"/>
      <selection pane="topRight" activeCell="B1" sqref="B1:F1"/>
    </sheetView>
  </sheetViews>
  <sheetFormatPr defaultRowHeight="14.4" x14ac:dyDescent="0.3"/>
  <cols>
    <col min="1" max="1" width="32" bestFit="1" customWidth="1"/>
    <col min="2" max="2" width="9.77734375" customWidth="1"/>
    <col min="5" max="5" width="11.33203125" customWidth="1"/>
    <col min="6" max="6" width="8" bestFit="1" customWidth="1"/>
    <col min="7" max="7" width="9.109375" bestFit="1" customWidth="1"/>
    <col min="8" max="8" width="18.6640625" bestFit="1" customWidth="1"/>
    <col min="9" max="9" width="12" bestFit="1" customWidth="1"/>
    <col min="10" max="10" width="7.5546875" bestFit="1" customWidth="1"/>
    <col min="12" max="12" width="12" bestFit="1" customWidth="1"/>
    <col min="15" max="15" width="0" hidden="1" customWidth="1"/>
  </cols>
  <sheetData>
    <row r="1" spans="1:15" x14ac:dyDescent="0.3">
      <c r="A1" s="4" t="s">
        <v>0</v>
      </c>
      <c r="B1" s="4">
        <f>YEAR(DATEVALUE("JAN-2025"))</f>
        <v>2025</v>
      </c>
      <c r="C1" s="4">
        <f>YEAR(DATEVALUE("JAN-2026"))</f>
        <v>2026</v>
      </c>
      <c r="D1" s="4">
        <f>YEAR(DATEVALUE("JAN-2027"))</f>
        <v>2027</v>
      </c>
      <c r="E1" s="4">
        <f>YEAR(DATEVALUE("JAN-2028"))</f>
        <v>2028</v>
      </c>
      <c r="F1" s="4">
        <f>YEAR(DATEVALUE("JAN-2029"))</f>
        <v>2029</v>
      </c>
    </row>
    <row r="2" spans="1:15" x14ac:dyDescent="0.3">
      <c r="A2" s="28" t="s">
        <v>3</v>
      </c>
      <c r="B2" s="43">
        <f>'[1]Income Statement'!G8</f>
        <v>865.81174197145447</v>
      </c>
      <c r="C2" s="43">
        <f>'[1]Income Statement'!H8</f>
        <v>920.46118290715049</v>
      </c>
      <c r="D2" s="43">
        <f>'[1]Income Statement'!I8</f>
        <v>978.74063885457053</v>
      </c>
      <c r="E2" s="43">
        <f>'[1]Income Statement'!J8</f>
        <v>1040.9023874430359</v>
      </c>
      <c r="F2" s="43">
        <f>'[1]Income Statement'!K8</f>
        <v>1107.2169098036211</v>
      </c>
      <c r="H2" s="33" t="s">
        <v>1</v>
      </c>
      <c r="I2" s="44">
        <f>'[1]Balance Sheet'!$N$7</f>
        <v>0.10567499999999999</v>
      </c>
      <c r="O2" t="s">
        <v>22</v>
      </c>
    </row>
    <row r="3" spans="1:15" x14ac:dyDescent="0.3">
      <c r="A3" s="39" t="s">
        <v>7</v>
      </c>
      <c r="B3" s="5">
        <f>B2*(1-DCF!$I$2)</f>
        <v>774.31708613862099</v>
      </c>
      <c r="C3" s="5">
        <f>C2*(1-DCF!$I$2)</f>
        <v>823.19144740343734</v>
      </c>
      <c r="D3" s="5">
        <f>D2*(1-DCF!$I$2)</f>
        <v>875.31222184361388</v>
      </c>
      <c r="E3" s="5">
        <f>E2*(1-DCF!$I$2)</f>
        <v>930.90502764999314</v>
      </c>
      <c r="F3" s="5">
        <f>F2*(1-DCF!$I$2)</f>
        <v>990.21176286012349</v>
      </c>
      <c r="H3" s="33" t="s">
        <v>15</v>
      </c>
      <c r="I3" s="8">
        <v>4.1000000000000002E-2</v>
      </c>
      <c r="O3" t="s">
        <v>37</v>
      </c>
    </row>
    <row r="4" spans="1:15" x14ac:dyDescent="0.3">
      <c r="A4" s="28" t="s">
        <v>4</v>
      </c>
      <c r="B4" s="43">
        <f>'[1]Income Statement'!G39</f>
        <v>474.10524395977473</v>
      </c>
      <c r="C4" s="43">
        <f>'[1]Income Statement'!H39</f>
        <v>504.03044047892519</v>
      </c>
      <c r="D4" s="43">
        <f>'[1]Income Statement'!I39</f>
        <v>535.94337759950497</v>
      </c>
      <c r="E4" s="43">
        <f>'[1]Income Statement'!J39</f>
        <v>569.98219868593901</v>
      </c>
      <c r="F4" s="43">
        <f>'[1]Income Statement'!K39</f>
        <v>606.29501506130021</v>
      </c>
      <c r="H4" s="33" t="s">
        <v>2</v>
      </c>
      <c r="I4" s="8">
        <f>(((I8/(I8+I6))*I7)+((I6/(I8+I6))*I5))*(1-I2)</f>
        <v>5.7975388146743925E-2</v>
      </c>
      <c r="O4" t="s">
        <v>36</v>
      </c>
    </row>
    <row r="5" spans="1:15" x14ac:dyDescent="0.3">
      <c r="A5" s="28" t="s">
        <v>5</v>
      </c>
      <c r="B5" s="43">
        <f>'[1]Balance Sheet'!G53</f>
        <v>-477.50310262561572</v>
      </c>
      <c r="C5" s="43">
        <f>'[1]Balance Sheet'!H53</f>
        <v>-507.64276964391172</v>
      </c>
      <c r="D5" s="43">
        <f>'[1]Balance Sheet'!I53</f>
        <v>-539.78442317572933</v>
      </c>
      <c r="E5" s="43">
        <f>'[1]Balance Sheet'!J53</f>
        <v>-574.06719664336379</v>
      </c>
      <c r="F5" s="43">
        <f>'[1]Balance Sheet'!K53</f>
        <v>-610.64026286698993</v>
      </c>
      <c r="H5" s="33" t="s">
        <v>8</v>
      </c>
      <c r="I5" s="8">
        <f>0.056</f>
        <v>5.6000000000000001E-2</v>
      </c>
    </row>
    <row r="6" spans="1:15" x14ac:dyDescent="0.3">
      <c r="A6" s="28" t="s">
        <v>107</v>
      </c>
      <c r="B6" s="43">
        <f>-'[1]Balance Sheet'!$G$52</f>
        <v>-149.35645811619816</v>
      </c>
      <c r="C6" s="43">
        <f>-'[1]Balance Sheet'!$G$52</f>
        <v>-149.35645811619816</v>
      </c>
      <c r="D6" s="43">
        <f>-'[1]Balance Sheet'!$G$52</f>
        <v>-149.35645811619816</v>
      </c>
      <c r="E6" s="43">
        <f>-'[1]Balance Sheet'!$G$52</f>
        <v>-149.35645811619816</v>
      </c>
      <c r="F6" s="43">
        <f>-'[1]Balance Sheet'!$G$52</f>
        <v>-149.35645811619816</v>
      </c>
      <c r="H6" s="33" t="s">
        <v>9</v>
      </c>
      <c r="I6" s="2">
        <f>'[1]Balance Sheet'!$F$49</f>
        <v>2986</v>
      </c>
    </row>
    <row r="7" spans="1:15" x14ac:dyDescent="0.3">
      <c r="A7" s="40" t="s">
        <v>6</v>
      </c>
      <c r="B7" s="6">
        <f>SUM(B3:B6)</f>
        <v>621.56276935658195</v>
      </c>
      <c r="C7" s="6">
        <f t="shared" ref="C7:F7" si="0">SUM(C3:C6)</f>
        <v>670.22266012225271</v>
      </c>
      <c r="D7" s="6">
        <f t="shared" si="0"/>
        <v>722.11471815119137</v>
      </c>
      <c r="E7" s="6">
        <f t="shared" si="0"/>
        <v>777.46357157637021</v>
      </c>
      <c r="F7" s="6">
        <f t="shared" si="0"/>
        <v>836.51005693823561</v>
      </c>
      <c r="H7" s="33" t="s">
        <v>10</v>
      </c>
      <c r="I7" s="8">
        <f>I3+(I10*I11)</f>
        <v>6.6460000000000005E-2</v>
      </c>
    </row>
    <row r="8" spans="1:15" x14ac:dyDescent="0.3">
      <c r="A8" s="28" t="s">
        <v>17</v>
      </c>
      <c r="B8" s="1">
        <f>B7/((1+DCF!$I$4)^(DCF!B1-2024))</f>
        <v>587.50210668451723</v>
      </c>
      <c r="C8" s="1">
        <f>C7/((1+DCF!$I$4)^(DCF!C1-2024))</f>
        <v>598.7809537220387</v>
      </c>
      <c r="D8" s="1">
        <f>D7/((1+DCF!$I$4)^(DCF!D1-2024))</f>
        <v>609.78888313649293</v>
      </c>
      <c r="E8" s="1">
        <f>E7/((1+DCF!$I$4)^(DCF!E1-2024))</f>
        <v>620.55144335444652</v>
      </c>
      <c r="F8" s="1">
        <f>F7/((1+DCF!$I$4)^(DCF!F1-2024))</f>
        <v>631.09297064712882</v>
      </c>
      <c r="H8" s="33" t="s">
        <v>11</v>
      </c>
      <c r="I8" s="7">
        <f>I9*('[1]Income Statement'!$F$25*'[1]Income Statement'!$N$8)</f>
        <v>16127.16</v>
      </c>
    </row>
    <row r="9" spans="1:15" x14ac:dyDescent="0.3">
      <c r="A9" s="28"/>
      <c r="B9" s="1"/>
      <c r="C9" s="1"/>
      <c r="D9" s="1"/>
      <c r="E9" s="1"/>
      <c r="F9" s="1"/>
      <c r="H9" s="33" t="s">
        <v>12</v>
      </c>
      <c r="I9" s="2">
        <v>36.82</v>
      </c>
    </row>
    <row r="10" spans="1:15" x14ac:dyDescent="0.3">
      <c r="A10" s="28"/>
      <c r="B10" s="11" t="s">
        <v>45</v>
      </c>
      <c r="D10" s="29" t="s">
        <v>46</v>
      </c>
      <c r="H10" s="33" t="s">
        <v>13</v>
      </c>
      <c r="I10" s="2">
        <v>0.67</v>
      </c>
    </row>
    <row r="11" spans="1:15" x14ac:dyDescent="0.3">
      <c r="A11" s="39" t="s">
        <v>44</v>
      </c>
      <c r="B11" s="5">
        <f>((F7*(1+DCF!I12))/(DCF!I4-DCF!I12))/((1+I4)^5)</f>
        <v>16950.842676647262</v>
      </c>
      <c r="D11" s="5">
        <f>((F2+F4)*I13)/((1+I4)^5)</f>
        <v>15616.580217387107</v>
      </c>
      <c r="H11" s="33" t="s">
        <v>14</v>
      </c>
      <c r="I11" s="8">
        <v>3.7999999999999999E-2</v>
      </c>
    </row>
    <row r="12" spans="1:15" x14ac:dyDescent="0.3">
      <c r="A12" s="39" t="s">
        <v>18</v>
      </c>
      <c r="B12" s="5">
        <f>SUM(B8:F8)+B11</f>
        <v>19998.559034191887</v>
      </c>
      <c r="D12" s="5">
        <f>SUM(B8:F8)+D11</f>
        <v>18664.29657493173</v>
      </c>
      <c r="H12" s="33" t="s">
        <v>16</v>
      </c>
      <c r="I12" s="8">
        <v>0.02</v>
      </c>
    </row>
    <row r="13" spans="1:15" x14ac:dyDescent="0.3">
      <c r="A13" s="3"/>
      <c r="B13" s="5"/>
      <c r="H13" s="33" t="s">
        <v>48</v>
      </c>
      <c r="I13" s="31">
        <f>I8/'[1]Income Statement'!$F$40</f>
        <v>12.080269662921348</v>
      </c>
    </row>
    <row r="14" spans="1:15" x14ac:dyDescent="0.3">
      <c r="A14" s="11" t="s">
        <v>25</v>
      </c>
      <c r="B14" s="5"/>
    </row>
    <row r="15" spans="1:15" x14ac:dyDescent="0.3">
      <c r="A15" s="28" t="s">
        <v>26</v>
      </c>
      <c r="B15" s="43">
        <f>'[1]Balance Sheet'!$F$22</f>
        <v>2</v>
      </c>
      <c r="G15" s="32" t="s">
        <v>47</v>
      </c>
      <c r="H15" s="30"/>
      <c r="I15" s="30"/>
      <c r="J15" s="30"/>
      <c r="K15" s="30"/>
      <c r="L15" s="30"/>
    </row>
    <row r="16" spans="1:15" x14ac:dyDescent="0.3">
      <c r="A16" s="28" t="s">
        <v>27</v>
      </c>
      <c r="B16" s="43">
        <f>'[1]Balance Sheet'!$F$28</f>
        <v>3123</v>
      </c>
      <c r="G16" s="26">
        <f>B12</f>
        <v>19998.559034191887</v>
      </c>
      <c r="H16" s="25">
        <f>I16-0.005</f>
        <v>4.797538814674393E-2</v>
      </c>
      <c r="I16" s="25">
        <f>J16-0.005</f>
        <v>5.2975388146743928E-2</v>
      </c>
      <c r="J16" s="25">
        <v>5.7975388146743925E-2</v>
      </c>
      <c r="K16" s="25">
        <f>J16+0.005</f>
        <v>6.297538814674393E-2</v>
      </c>
      <c r="L16" s="25">
        <f>K16+0.005</f>
        <v>6.7975388146743934E-2</v>
      </c>
    </row>
    <row r="17" spans="1:12" x14ac:dyDescent="0.3">
      <c r="A17" s="28" t="s">
        <v>28</v>
      </c>
      <c r="B17" s="43">
        <f>'[1]Balance Sheet'!$F$23</f>
        <v>0</v>
      </c>
      <c r="G17" s="25">
        <f>G18-0.005</f>
        <v>9.9999999999999985E-3</v>
      </c>
      <c r="H17" s="13">
        <f t="dataTable" ref="H17:L21" dt2D="1" dtr="1" r1="I4" r2="I12" ca="1"/>
        <v>20738.04588044636</v>
      </c>
      <c r="I17" s="13">
        <v>18279.268545146788</v>
      </c>
      <c r="J17" s="13">
        <v>16333.77666838466</v>
      </c>
      <c r="K17" s="13">
        <v>14756.215972996846</v>
      </c>
      <c r="L17" s="15">
        <v>13451.376096116624</v>
      </c>
    </row>
    <row r="18" spans="1:12" x14ac:dyDescent="0.3">
      <c r="A18" s="28" t="s">
        <v>29</v>
      </c>
      <c r="B18" s="43">
        <f>'[1]Balance Sheet'!$F$24</f>
        <v>61</v>
      </c>
      <c r="G18" s="25">
        <f>G19-0.005</f>
        <v>1.4999999999999999E-2</v>
      </c>
      <c r="H18" s="13">
        <v>23507.18452249312</v>
      </c>
      <c r="I18" s="22">
        <v>20363.981477702382</v>
      </c>
      <c r="J18" s="24">
        <v>17952.977085372822</v>
      </c>
      <c r="K18" s="17">
        <v>16045.224202434993</v>
      </c>
      <c r="L18" s="15">
        <v>14498.211449864146</v>
      </c>
    </row>
    <row r="19" spans="1:12" x14ac:dyDescent="0.3">
      <c r="A19" s="28" t="s">
        <v>30</v>
      </c>
      <c r="B19" s="43">
        <f>'[1]Balance Sheet'!$F$30</f>
        <v>79</v>
      </c>
      <c r="G19" s="25">
        <v>0.02</v>
      </c>
      <c r="H19" s="13">
        <v>27266.171322328199</v>
      </c>
      <c r="I19" s="23">
        <v>23080.897107396344</v>
      </c>
      <c r="J19" s="12">
        <v>19998.559034191887</v>
      </c>
      <c r="K19" s="18">
        <v>17634.173464409418</v>
      </c>
      <c r="L19" s="15">
        <v>15763.249385015602</v>
      </c>
    </row>
    <row r="20" spans="1:12" x14ac:dyDescent="0.3">
      <c r="A20" s="28" t="s">
        <v>35</v>
      </c>
      <c r="B20" s="43">
        <f>'[1]Balance Sheet'!$F$29</f>
        <v>135</v>
      </c>
      <c r="G20" s="25">
        <f>G19+0.005</f>
        <v>2.5000000000000001E-2</v>
      </c>
      <c r="H20" s="13">
        <v>32661.250960215191</v>
      </c>
      <c r="I20" s="20">
        <v>26768.993410417326</v>
      </c>
      <c r="J20" s="21">
        <v>22664.476955923834</v>
      </c>
      <c r="K20" s="19">
        <v>19641.538268532982</v>
      </c>
      <c r="L20" s="15">
        <v>17322.650673170836</v>
      </c>
    </row>
    <row r="21" spans="1:12" x14ac:dyDescent="0.3">
      <c r="A21" s="28" t="s">
        <v>32</v>
      </c>
      <c r="B21" s="43">
        <f>'[1]Balance Sheet'!$F$31</f>
        <v>31</v>
      </c>
      <c r="G21" s="25">
        <f>G20+0.005</f>
        <v>3.0000000000000002E-2</v>
      </c>
      <c r="H21" s="14">
        <v>41057.700912803441</v>
      </c>
      <c r="I21" s="14">
        <v>32062.327579046978</v>
      </c>
      <c r="J21" s="14">
        <v>26283.346060226686</v>
      </c>
      <c r="K21" s="14">
        <v>22257.649448951077</v>
      </c>
      <c r="L21" s="16">
        <v>19292.686681405674</v>
      </c>
    </row>
    <row r="22" spans="1:12" x14ac:dyDescent="0.3">
      <c r="A22" s="28" t="s">
        <v>31</v>
      </c>
      <c r="B22" s="43">
        <f>'[1]Balance Sheet'!$F$32</f>
        <v>190</v>
      </c>
      <c r="I22" s="28" t="s">
        <v>23</v>
      </c>
      <c r="J22" s="3" t="s">
        <v>36</v>
      </c>
    </row>
    <row r="23" spans="1:12" x14ac:dyDescent="0.3">
      <c r="A23" s="28" t="s">
        <v>33</v>
      </c>
      <c r="B23" s="43">
        <f>'[1]Balance Sheet'!$F$3</f>
        <v>619</v>
      </c>
      <c r="H23" s="28" t="s">
        <v>39</v>
      </c>
      <c r="I23" s="27">
        <f>IF(J22="Bull",I20,IF(J22="Bear",K18,IF(J22="Central",J19,"Error")))</f>
        <v>16045.224202434993</v>
      </c>
      <c r="K23" s="28" t="s">
        <v>38</v>
      </c>
      <c r="L23" s="27">
        <f>I23-B25</f>
        <v>13059.224202434993</v>
      </c>
    </row>
    <row r="24" spans="1:12" x14ac:dyDescent="0.3">
      <c r="A24" s="28" t="s">
        <v>34</v>
      </c>
      <c r="B24" s="43">
        <f>'[1]Balance Sheet'!$F$12</f>
        <v>16</v>
      </c>
      <c r="I24" s="28" t="s">
        <v>57</v>
      </c>
      <c r="J24" s="81">
        <f>L23/B36*2</f>
        <v>29.815580370856146</v>
      </c>
    </row>
    <row r="25" spans="1:12" x14ac:dyDescent="0.3">
      <c r="A25" s="39" t="s">
        <v>24</v>
      </c>
      <c r="B25">
        <f>(SUM(B15:B22)+(-1*SUM(B23:B24)))</f>
        <v>2986</v>
      </c>
      <c r="I25" s="28" t="s">
        <v>43</v>
      </c>
      <c r="J25" s="81">
        <f>J24-B29</f>
        <v>-7.0044196291438539</v>
      </c>
      <c r="K25" s="10">
        <f>J25/B29</f>
        <v>-0.19023410182357017</v>
      </c>
    </row>
    <row r="26" spans="1:12" x14ac:dyDescent="0.3">
      <c r="A26" s="39" t="s">
        <v>19</v>
      </c>
      <c r="B26" s="5">
        <f>B12-B25</f>
        <v>17012.559034191887</v>
      </c>
      <c r="D26" s="5">
        <f>D12-B25</f>
        <v>15678.29657493173</v>
      </c>
    </row>
    <row r="27" spans="1:12" x14ac:dyDescent="0.3">
      <c r="A27" s="39" t="s">
        <v>55</v>
      </c>
      <c r="B27" s="9">
        <f>B26/B36</f>
        <v>19.420729491086629</v>
      </c>
      <c r="D27" s="9">
        <f>D26/B36</f>
        <v>17.897598829830741</v>
      </c>
      <c r="G27" s="32" t="s">
        <v>49</v>
      </c>
      <c r="H27" s="30"/>
      <c r="I27" s="30"/>
      <c r="J27" s="30"/>
      <c r="K27" s="30"/>
      <c r="L27" s="30"/>
    </row>
    <row r="28" spans="1:12" x14ac:dyDescent="0.3">
      <c r="A28" s="39" t="s">
        <v>56</v>
      </c>
      <c r="B28" s="81">
        <f>B27*2</f>
        <v>38.841458982173258</v>
      </c>
      <c r="C28" s="81"/>
      <c r="D28" s="81">
        <f t="shared" ref="D28" si="1">D27*2</f>
        <v>35.795197659661483</v>
      </c>
      <c r="G28" s="26">
        <f>D12</f>
        <v>18664.29657493173</v>
      </c>
      <c r="H28" s="25">
        <f>I28-0.005</f>
        <v>4.797538814674393E-2</v>
      </c>
      <c r="I28" s="25">
        <f>J28-0.005</f>
        <v>5.2975388146743928E-2</v>
      </c>
      <c r="J28" s="25">
        <v>5.7975388146743925E-2</v>
      </c>
      <c r="K28" s="25">
        <f>J28+0.005</f>
        <v>6.297538814674393E-2</v>
      </c>
      <c r="L28" s="25">
        <f>K28+0.005</f>
        <v>6.7975388146743934E-2</v>
      </c>
    </row>
    <row r="29" spans="1:12" x14ac:dyDescent="0.3">
      <c r="A29" s="28" t="s">
        <v>20</v>
      </c>
      <c r="B29" s="84">
        <f>DCF!$I$9</f>
        <v>36.82</v>
      </c>
      <c r="C29" s="81"/>
      <c r="D29" s="84">
        <f>DCF!$I$9</f>
        <v>36.82</v>
      </c>
      <c r="G29" s="48">
        <f>G30-1</f>
        <v>10.08</v>
      </c>
      <c r="H29" s="13">
        <f t="dataTable" ref="H29:L33" dt2D="1" dtr="1" r1="I4" r2="I13"/>
        <v>16801.597649603467</v>
      </c>
      <c r="I29" s="13">
        <v>16435.025999863796</v>
      </c>
      <c r="J29" s="13">
        <v>16078.479161989722</v>
      </c>
      <c r="K29" s="13">
        <v>15731.634626740322</v>
      </c>
      <c r="L29" s="15">
        <v>15394.181751006807</v>
      </c>
    </row>
    <row r="30" spans="1:12" x14ac:dyDescent="0.3">
      <c r="A30" s="39" t="s">
        <v>21</v>
      </c>
      <c r="B30" s="82">
        <f>B28-B29</f>
        <v>2.0214589821732574</v>
      </c>
      <c r="C30" s="10">
        <f>B30/B29</f>
        <v>5.4901113041098785E-2</v>
      </c>
      <c r="D30" s="82">
        <f>D28-D29</f>
        <v>-1.0248023403385176</v>
      </c>
      <c r="E30" s="10">
        <f>D30/D29</f>
        <v>-2.7832763181382877E-2</v>
      </c>
      <c r="G30" s="48">
        <f>G31-1</f>
        <v>11.08</v>
      </c>
      <c r="H30" s="13">
        <v>18157.198131881374</v>
      </c>
      <c r="I30" s="22">
        <v>17758.745692613495</v>
      </c>
      <c r="J30" s="24">
        <v>17371.213567192612</v>
      </c>
      <c r="K30" s="17">
        <v>16994.250037204187</v>
      </c>
      <c r="L30" s="15">
        <v>16627.516334147633</v>
      </c>
    </row>
    <row r="31" spans="1:12" x14ac:dyDescent="0.3">
      <c r="G31" s="48">
        <v>12.08</v>
      </c>
      <c r="H31" s="13">
        <v>19512.798614159277</v>
      </c>
      <c r="I31" s="23">
        <v>19082.465385363193</v>
      </c>
      <c r="J31" s="12">
        <v>18663.947972395497</v>
      </c>
      <c r="K31" s="18">
        <v>18256.865447668049</v>
      </c>
      <c r="L31" s="15">
        <v>17860.850917288459</v>
      </c>
    </row>
    <row r="32" spans="1:12" x14ac:dyDescent="0.3">
      <c r="G32" s="48">
        <f>G31+1</f>
        <v>13.08</v>
      </c>
      <c r="H32" s="13">
        <v>20868.399096437184</v>
      </c>
      <c r="I32" s="20">
        <v>20406.185078112892</v>
      </c>
      <c r="J32" s="21">
        <v>19956.682377598383</v>
      </c>
      <c r="K32" s="19">
        <v>19519.480858131912</v>
      </c>
      <c r="L32" s="15">
        <v>19094.185500429281</v>
      </c>
    </row>
    <row r="33" spans="1:12" x14ac:dyDescent="0.3">
      <c r="G33" s="48">
        <f>G32+1</f>
        <v>14.08</v>
      </c>
      <c r="H33" s="14">
        <v>22223.999578715087</v>
      </c>
      <c r="I33" s="14">
        <v>21729.904770862591</v>
      </c>
      <c r="J33" s="14">
        <v>21249.416782801272</v>
      </c>
      <c r="K33" s="14">
        <v>20782.096268595775</v>
      </c>
      <c r="L33" s="16">
        <v>20327.520083570107</v>
      </c>
    </row>
    <row r="34" spans="1:12" x14ac:dyDescent="0.3">
      <c r="A34" s="28" t="s">
        <v>40</v>
      </c>
      <c r="B34" s="45">
        <f>'[1]Income Statement'!$F$24</f>
        <v>873</v>
      </c>
      <c r="I34" s="28" t="s">
        <v>23</v>
      </c>
      <c r="J34" s="3" t="s">
        <v>36</v>
      </c>
    </row>
    <row r="35" spans="1:12" x14ac:dyDescent="0.3">
      <c r="A35" s="28" t="s">
        <v>41</v>
      </c>
      <c r="B35" s="45">
        <v>3</v>
      </c>
      <c r="H35" s="28" t="s">
        <v>39</v>
      </c>
      <c r="I35" s="27">
        <f>IF(J34="Bull",I32,IF(J34="Bear",K30,IF(J34="Central",J31,"Error")))</f>
        <v>16994.250037204187</v>
      </c>
      <c r="K35" s="28" t="s">
        <v>38</v>
      </c>
      <c r="L35" s="27">
        <f>I35-B37</f>
        <v>16994.250037204187</v>
      </c>
    </row>
    <row r="36" spans="1:12" x14ac:dyDescent="0.3">
      <c r="A36" s="39" t="s">
        <v>42</v>
      </c>
      <c r="B36" s="3">
        <f>B34+B35</f>
        <v>876</v>
      </c>
      <c r="I36" s="28" t="s">
        <v>57</v>
      </c>
      <c r="J36" s="81">
        <f>L35/B36*2</f>
        <v>38.799657619187641</v>
      </c>
    </row>
    <row r="37" spans="1:12" x14ac:dyDescent="0.3">
      <c r="I37" s="28" t="s">
        <v>43</v>
      </c>
      <c r="J37" s="81">
        <f>J36-B29</f>
        <v>1.9796576191876412</v>
      </c>
      <c r="K37" s="10">
        <f>J37/B29</f>
        <v>5.3765823443444896E-2</v>
      </c>
    </row>
  </sheetData>
  <dataValidations count="1">
    <dataValidation type="list" allowBlank="1" showInputMessage="1" showErrorMessage="1" sqref="J22 J34" xr:uid="{EAB0D90E-FD11-4473-987B-7DCF4EF16CCE}">
      <formula1>$O$2:$O$4</formula1>
    </dataValidation>
  </dataValidations>
  <pageMargins left="0.7" right="0.7" top="0.75" bottom="0.75" header="0.3" footer="0.3"/>
  <ignoredErrors>
    <ignoredError sqref="C30:D3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AA58-ADB1-46F6-8416-C90E04EF858D}">
  <dimension ref="A1:AA38"/>
  <sheetViews>
    <sheetView showGridLines="0" workbookViewId="0">
      <pane xSplit="1" topLeftCell="B1" activePane="topRight" state="frozen"/>
      <selection pane="topRight" activeCell="C2" sqref="C2:G2"/>
    </sheetView>
  </sheetViews>
  <sheetFormatPr defaultRowHeight="14.4" x14ac:dyDescent="0.3"/>
  <cols>
    <col min="1" max="1" width="30.5546875" style="28" bestFit="1" customWidth="1"/>
    <col min="2" max="2" width="8.88671875" customWidth="1"/>
    <col min="22" max="22" width="37.88671875" bestFit="1" customWidth="1"/>
    <col min="23" max="23" width="7.77734375" bestFit="1" customWidth="1"/>
    <col min="27" max="27" width="6.88671875" hidden="1" customWidth="1"/>
  </cols>
  <sheetData>
    <row r="1" spans="1:27" x14ac:dyDescent="0.3">
      <c r="A1" s="122"/>
      <c r="B1" s="34" t="s">
        <v>50</v>
      </c>
      <c r="C1" s="34"/>
      <c r="D1" s="34"/>
      <c r="E1" s="34"/>
      <c r="F1" s="34"/>
      <c r="G1" s="35"/>
      <c r="H1" s="34" t="s">
        <v>51</v>
      </c>
      <c r="I1" s="34"/>
      <c r="J1" s="34"/>
      <c r="K1" s="34"/>
      <c r="L1" s="34"/>
      <c r="M1" s="35"/>
      <c r="N1" s="34" t="s">
        <v>52</v>
      </c>
      <c r="O1" s="34"/>
      <c r="P1" s="34"/>
      <c r="Q1" s="34"/>
      <c r="R1" s="34"/>
      <c r="S1" s="35"/>
      <c r="T1" s="55" t="s">
        <v>60</v>
      </c>
      <c r="U1" s="49"/>
      <c r="V1" s="49"/>
      <c r="W1" s="49"/>
      <c r="X1" s="49"/>
      <c r="Y1" s="49"/>
    </row>
    <row r="2" spans="1:27" x14ac:dyDescent="0.3">
      <c r="A2" s="123" t="s">
        <v>0</v>
      </c>
      <c r="B2" s="4">
        <f>YEAR(DATEVALUE("JAN-2024"))</f>
        <v>2024</v>
      </c>
      <c r="C2" s="4">
        <f>YEAR(DATEVALUE("JAN-2025"))</f>
        <v>2025</v>
      </c>
      <c r="D2" s="4">
        <f>YEAR(DATEVALUE("JAN-2026"))</f>
        <v>2026</v>
      </c>
      <c r="E2" s="4">
        <f>YEAR(DATEVALUE("JAN-2027"))</f>
        <v>2027</v>
      </c>
      <c r="F2" s="4">
        <f>YEAR(DATEVALUE("JAN-2028"))</f>
        <v>2028</v>
      </c>
      <c r="G2" s="4">
        <f>YEAR(DATEVALUE("JAN-2029"))</f>
        <v>2029</v>
      </c>
      <c r="H2" s="4">
        <f>YEAR(DATEVALUE("JAN-2024"))</f>
        <v>2024</v>
      </c>
      <c r="I2" s="4">
        <f>YEAR(DATEVALUE("JAN-2025"))</f>
        <v>2025</v>
      </c>
      <c r="J2" s="4">
        <f>YEAR(DATEVALUE("JAN-2026"))</f>
        <v>2026</v>
      </c>
      <c r="K2" s="4">
        <f>YEAR(DATEVALUE("JAN-2027"))</f>
        <v>2027</v>
      </c>
      <c r="L2" s="4">
        <f>YEAR(DATEVALUE("JAN-2028"))</f>
        <v>2028</v>
      </c>
      <c r="M2" s="4">
        <f>YEAR(DATEVALUE("JAN-2029"))</f>
        <v>2029</v>
      </c>
      <c r="N2" s="4">
        <f>YEAR(DATEVALUE("JAN-2024"))</f>
        <v>2024</v>
      </c>
      <c r="O2" s="4">
        <f>YEAR(DATEVALUE("JAN-2025"))</f>
        <v>2025</v>
      </c>
      <c r="P2" s="4">
        <f>YEAR(DATEVALUE("JAN-2026"))</f>
        <v>2026</v>
      </c>
      <c r="Q2" s="4">
        <f>YEAR(DATEVALUE("JAN-2027"))</f>
        <v>2027</v>
      </c>
      <c r="R2" s="4">
        <f>YEAR(DATEVALUE("JAN-2028"))</f>
        <v>2028</v>
      </c>
      <c r="S2" s="4">
        <f>YEAR(DATEVALUE("JAN-2029"))</f>
        <v>2029</v>
      </c>
      <c r="T2" s="54">
        <v>2024</v>
      </c>
      <c r="U2" s="49"/>
      <c r="V2" s="33" t="s">
        <v>1</v>
      </c>
      <c r="W2" s="44">
        <f>'[1]Balance Sheet'!$N$7</f>
        <v>0.10567499999999999</v>
      </c>
      <c r="X2" s="49"/>
      <c r="Y2" s="49"/>
      <c r="AA2" t="s">
        <v>36</v>
      </c>
    </row>
    <row r="3" spans="1:27" x14ac:dyDescent="0.3">
      <c r="A3" s="41" t="s">
        <v>53</v>
      </c>
      <c r="B3" s="50">
        <f>'[1]Income Statement'!$F$43</f>
        <v>2305</v>
      </c>
      <c r="C3" s="43">
        <f>'[1]Income Statement'!G43</f>
        <v>2413.6991302341535</v>
      </c>
      <c r="D3" s="43">
        <f>'[1]Income Statement'!H43</f>
        <v>2527.5242912334529</v>
      </c>
      <c r="E3" s="43">
        <f>'[1]Income Statement'!I43</f>
        <v>2646.7172162238094</v>
      </c>
      <c r="F3" s="43">
        <f>'[1]Income Statement'!J43</f>
        <v>2771.5310380803335</v>
      </c>
      <c r="G3" s="46">
        <f>'[1]Income Statement'!K43</f>
        <v>2902.230826911697</v>
      </c>
      <c r="H3" s="43">
        <f>'[1]Income Statement'!$F$44</f>
        <v>1824</v>
      </c>
      <c r="I3" s="43">
        <f>'[1]Income Statement'!G44</f>
        <v>1972.7566005307594</v>
      </c>
      <c r="J3" s="43">
        <f>'[1]Income Statement'!H44</f>
        <v>2133.6450684965343</v>
      </c>
      <c r="K3" s="43">
        <f>'[1]Income Statement'!I44</f>
        <v>2307.6548202118656</v>
      </c>
      <c r="L3" s="43">
        <f>'[1]Income Statement'!J44</f>
        <v>2495.8559639909986</v>
      </c>
      <c r="M3" s="46">
        <f>'[1]Income Statement'!K44</f>
        <v>2699.405880996329</v>
      </c>
      <c r="N3" s="43">
        <f>'[1]Income Statement'!$F$45</f>
        <v>1681</v>
      </c>
      <c r="O3" s="43">
        <f>'[1]Income Statement'!G45</f>
        <v>1789.1296699937484</v>
      </c>
      <c r="P3" s="43">
        <f>'[1]Income Statement'!H45</f>
        <v>1904.2147388768226</v>
      </c>
      <c r="Q3" s="43">
        <f>'[1]Income Statement'!I45</f>
        <v>2026.7026099725886</v>
      </c>
      <c r="R3" s="43">
        <f>'[1]Income Statement'!J45</f>
        <v>2157.0694656488554</v>
      </c>
      <c r="S3" s="47">
        <f>'[1]Income Statement'!K45</f>
        <v>2295.8221185186958</v>
      </c>
      <c r="T3" s="56">
        <f>'[1]Income Statement'!F2</f>
        <v>5810</v>
      </c>
      <c r="U3" s="49"/>
      <c r="V3" s="33" t="s">
        <v>15</v>
      </c>
      <c r="W3" s="8">
        <v>4.1000000000000002E-2</v>
      </c>
      <c r="X3" s="49"/>
      <c r="Y3" s="49"/>
      <c r="AA3" t="s">
        <v>37</v>
      </c>
    </row>
    <row r="4" spans="1:27" s="3" customFormat="1" x14ac:dyDescent="0.3">
      <c r="A4" s="42" t="s">
        <v>3</v>
      </c>
      <c r="B4" s="53">
        <v>265</v>
      </c>
      <c r="C4" s="5">
        <f>C3*$B$5</f>
        <v>277.49686312887229</v>
      </c>
      <c r="D4" s="5">
        <f t="shared" ref="D4:G4" si="0">D3*$B$5</f>
        <v>290.58305300514752</v>
      </c>
      <c r="E4" s="5">
        <f t="shared" si="0"/>
        <v>304.28636108429913</v>
      </c>
      <c r="F4" s="5">
        <f t="shared" si="0"/>
        <v>318.63588941053723</v>
      </c>
      <c r="G4" s="38">
        <f t="shared" si="0"/>
        <v>333.66211242151832</v>
      </c>
      <c r="H4" s="53">
        <v>437</v>
      </c>
      <c r="I4" s="5">
        <f>I3*$H$5</f>
        <v>472.63960221049444</v>
      </c>
      <c r="J4" s="5">
        <f t="shared" ref="J4:M4" si="1">J3*$H$5</f>
        <v>511.18579766062805</v>
      </c>
      <c r="K4" s="5">
        <f t="shared" si="1"/>
        <v>552.87563400909278</v>
      </c>
      <c r="L4" s="5">
        <f t="shared" si="1"/>
        <v>597.96549137284342</v>
      </c>
      <c r="M4" s="38">
        <f t="shared" si="1"/>
        <v>646.73265898870386</v>
      </c>
      <c r="N4" s="53">
        <v>399</v>
      </c>
      <c r="O4" s="5">
        <f>O3*$N$5</f>
        <v>424.66551952855775</v>
      </c>
      <c r="P4" s="5">
        <f t="shared" ref="P4:S4" si="2">P3*$N$5</f>
        <v>451.98196360015004</v>
      </c>
      <c r="Q4" s="5">
        <f t="shared" si="2"/>
        <v>481.05552729272029</v>
      </c>
      <c r="R4" s="5">
        <f t="shared" si="2"/>
        <v>511.99923664122144</v>
      </c>
      <c r="S4" s="38">
        <f t="shared" si="2"/>
        <v>544.93338803626386</v>
      </c>
      <c r="T4" s="57">
        <f>'[1]Income Statement'!F8</f>
        <v>886</v>
      </c>
      <c r="U4" s="49"/>
      <c r="V4" s="33" t="s">
        <v>2</v>
      </c>
      <c r="W4" s="8">
        <f>(((W8/(W8+W6))*W7)+((W6/(W8+W6))*W5))*(1-W2)</f>
        <v>5.7975388146743925E-2</v>
      </c>
      <c r="X4" s="49"/>
      <c r="Y4" s="49"/>
      <c r="AA4" t="s">
        <v>22</v>
      </c>
    </row>
    <row r="5" spans="1:27" s="3" customFormat="1" x14ac:dyDescent="0.3">
      <c r="A5" s="41" t="s">
        <v>58</v>
      </c>
      <c r="B5" s="10">
        <f>B4/B3</f>
        <v>0.11496746203904555</v>
      </c>
      <c r="C5" s="5"/>
      <c r="D5" s="5"/>
      <c r="E5" s="5"/>
      <c r="F5" s="5"/>
      <c r="G5" s="38"/>
      <c r="H5" s="10">
        <f>H4/H3</f>
        <v>0.23958333333333334</v>
      </c>
      <c r="I5" s="5"/>
      <c r="J5" s="5"/>
      <c r="K5" s="5"/>
      <c r="L5" s="5"/>
      <c r="M5" s="38"/>
      <c r="N5" s="10">
        <f>N4/N3</f>
        <v>0.23735871505056513</v>
      </c>
      <c r="O5" s="5"/>
      <c r="P5" s="5"/>
      <c r="Q5" s="5"/>
      <c r="R5" s="5"/>
      <c r="S5" s="38"/>
      <c r="T5" s="49"/>
      <c r="U5" s="49"/>
      <c r="V5" s="33" t="s">
        <v>8</v>
      </c>
      <c r="W5" s="8">
        <f>0.056</f>
        <v>5.6000000000000001E-2</v>
      </c>
      <c r="X5" s="49"/>
      <c r="Y5" s="49"/>
    </row>
    <row r="6" spans="1:27" x14ac:dyDescent="0.3">
      <c r="A6" s="42" t="s">
        <v>54</v>
      </c>
      <c r="B6" s="5">
        <f t="shared" ref="B6:S6" si="3">B4*(1-$W$2)</f>
        <v>236.99612500000001</v>
      </c>
      <c r="C6" s="5">
        <f t="shared" si="3"/>
        <v>248.17238211772872</v>
      </c>
      <c r="D6" s="5">
        <f t="shared" si="3"/>
        <v>259.87568887882856</v>
      </c>
      <c r="E6" s="5">
        <f t="shared" si="3"/>
        <v>272.13089987671583</v>
      </c>
      <c r="F6" s="5">
        <f t="shared" si="3"/>
        <v>284.96404179707872</v>
      </c>
      <c r="G6" s="38">
        <f t="shared" si="3"/>
        <v>298.40236869137436</v>
      </c>
      <c r="H6" s="5">
        <f t="shared" si="3"/>
        <v>390.82002500000004</v>
      </c>
      <c r="I6" s="5">
        <f t="shared" si="3"/>
        <v>422.69341224690044</v>
      </c>
      <c r="J6" s="5">
        <f t="shared" si="3"/>
        <v>457.16623849284122</v>
      </c>
      <c r="K6" s="5">
        <f t="shared" si="3"/>
        <v>494.45050138518189</v>
      </c>
      <c r="L6" s="5">
        <f t="shared" si="3"/>
        <v>534.77548807201822</v>
      </c>
      <c r="M6" s="38">
        <f t="shared" si="3"/>
        <v>578.38918525007261</v>
      </c>
      <c r="N6" s="5">
        <f t="shared" si="3"/>
        <v>356.83567500000004</v>
      </c>
      <c r="O6" s="5">
        <f t="shared" si="3"/>
        <v>379.7889907523774</v>
      </c>
      <c r="P6" s="5">
        <f t="shared" si="3"/>
        <v>404.21876959670419</v>
      </c>
      <c r="Q6" s="5">
        <f t="shared" si="3"/>
        <v>430.21998444606209</v>
      </c>
      <c r="R6" s="5">
        <f t="shared" si="3"/>
        <v>457.89371730916037</v>
      </c>
      <c r="S6" s="38">
        <f t="shared" si="3"/>
        <v>487.3475522555317</v>
      </c>
      <c r="T6" s="5"/>
      <c r="U6" s="5"/>
      <c r="V6" s="33" t="s">
        <v>9</v>
      </c>
      <c r="W6" s="2">
        <f>'[1]Balance Sheet'!$F$49</f>
        <v>2986</v>
      </c>
      <c r="X6" s="5"/>
      <c r="Y6" s="5"/>
    </row>
    <row r="7" spans="1:27" x14ac:dyDescent="0.3">
      <c r="A7" s="42"/>
      <c r="B7" s="39"/>
      <c r="C7" s="5"/>
      <c r="D7" s="5"/>
      <c r="E7" s="5"/>
      <c r="F7" s="5"/>
      <c r="G7" s="38"/>
      <c r="H7" s="5"/>
      <c r="I7" s="5"/>
      <c r="J7" s="5"/>
      <c r="K7" s="5"/>
      <c r="L7" s="5"/>
      <c r="M7" s="38"/>
      <c r="N7" s="5"/>
      <c r="O7" s="5"/>
      <c r="P7" s="5"/>
      <c r="Q7" s="5"/>
      <c r="R7" s="5"/>
      <c r="S7" s="38"/>
      <c r="T7" s="5"/>
      <c r="V7" s="33" t="s">
        <v>10</v>
      </c>
      <c r="W7" s="8">
        <f>W3+(W10*W11)</f>
        <v>6.6460000000000005E-2</v>
      </c>
    </row>
    <row r="8" spans="1:27" x14ac:dyDescent="0.3">
      <c r="A8" s="41" t="s">
        <v>4</v>
      </c>
      <c r="B8" s="28">
        <v>213</v>
      </c>
      <c r="C8" s="51">
        <f>$B$9*'[1]Income Statement'!G39</f>
        <v>224.90961461788868</v>
      </c>
      <c r="D8" s="51">
        <f>$B$9*'[1]Income Statement'!H39</f>
        <v>239.10575461472399</v>
      </c>
      <c r="E8" s="51">
        <f>$B$9*'[1]Income Statement'!I39</f>
        <v>254.24485396145781</v>
      </c>
      <c r="F8" s="51">
        <f>$B$9*'[1]Income Statement'!J39</f>
        <v>270.39244614722719</v>
      </c>
      <c r="G8" s="52">
        <f>$B$9*'[1]Income Statement'!K39</f>
        <v>287.61879333642975</v>
      </c>
      <c r="H8" s="1">
        <v>98</v>
      </c>
      <c r="I8" s="1">
        <f>$H$9*'[1]Income Statement'!G39</f>
        <v>103.47954099790184</v>
      </c>
      <c r="J8" s="1">
        <f>$H$9*'[1]Income Statement'!H39</f>
        <v>110.01109836733779</v>
      </c>
      <c r="K8" s="1">
        <f>$H$9*'[1]Income Statement'!I39</f>
        <v>116.97650557851111</v>
      </c>
      <c r="L8" s="1">
        <f>$H$9*'[1]Income Statement'!J39</f>
        <v>124.40591418980407</v>
      </c>
      <c r="M8" s="37">
        <f>$H$9*'[1]Income Statement'!K39</f>
        <v>132.33165139422587</v>
      </c>
      <c r="N8" s="1">
        <v>62</v>
      </c>
      <c r="O8" s="1">
        <f>$N$9*'[1]Income Statement'!G39</f>
        <v>65.466648386427678</v>
      </c>
      <c r="P8" s="1">
        <f>$N$9*'[1]Income Statement'!H39</f>
        <v>69.598858150764727</v>
      </c>
      <c r="Q8" s="1">
        <f>$N$9*'[1]Income Statement'!I39</f>
        <v>74.00554434558866</v>
      </c>
      <c r="R8" s="1">
        <f>$N$9*'[1]Income Statement'!J39</f>
        <v>78.705782446610726</v>
      </c>
      <c r="S8" s="37">
        <f>$N$9*'[1]Income Statement'!K39</f>
        <v>83.720024351449027</v>
      </c>
      <c r="T8" s="1"/>
      <c r="U8" s="1"/>
      <c r="V8" s="33" t="s">
        <v>11</v>
      </c>
      <c r="W8" s="7">
        <f>W9*('[1]Income Statement'!$F$25*'[1]Income Statement'!$N$8)</f>
        <v>16127.16</v>
      </c>
      <c r="X8" s="1"/>
      <c r="Y8" s="1"/>
    </row>
    <row r="9" spans="1:27" x14ac:dyDescent="0.3">
      <c r="A9" s="41" t="s">
        <v>59</v>
      </c>
      <c r="B9" s="10">
        <f>B8/'[1]Income Statement'!F39</f>
        <v>0.47438752783964366</v>
      </c>
      <c r="C9" s="10"/>
      <c r="D9" s="1"/>
      <c r="E9" s="1"/>
      <c r="F9" s="1"/>
      <c r="G9" s="37"/>
      <c r="H9" s="10">
        <f>H8/'[1]Income Statement'!F39</f>
        <v>0.21826280623608019</v>
      </c>
      <c r="I9" s="1"/>
      <c r="J9" s="1"/>
      <c r="K9" s="1"/>
      <c r="L9" s="1"/>
      <c r="M9" s="37"/>
      <c r="N9" s="10">
        <f>N8/'[1]Income Statement'!F39</f>
        <v>0.13808463251670378</v>
      </c>
      <c r="O9" s="1"/>
      <c r="P9" s="1"/>
      <c r="Q9" s="1"/>
      <c r="R9" s="1"/>
      <c r="S9" s="37"/>
      <c r="T9" s="1"/>
      <c r="V9" s="33" t="s">
        <v>12</v>
      </c>
      <c r="W9" s="2">
        <v>36.82</v>
      </c>
    </row>
    <row r="10" spans="1:27" x14ac:dyDescent="0.3">
      <c r="A10" s="42"/>
      <c r="B10" s="39"/>
      <c r="C10" s="5"/>
      <c r="D10" s="5"/>
      <c r="E10" s="5"/>
      <c r="F10" s="5"/>
      <c r="G10" s="38"/>
      <c r="H10" s="5"/>
      <c r="I10" s="5"/>
      <c r="J10" s="5"/>
      <c r="K10" s="5"/>
      <c r="L10" s="5"/>
      <c r="M10" s="38"/>
      <c r="N10" s="5"/>
      <c r="O10" s="5"/>
      <c r="P10" s="5"/>
      <c r="Q10" s="5"/>
      <c r="R10" s="5"/>
      <c r="S10" s="38"/>
      <c r="T10" s="5"/>
      <c r="V10" s="33" t="s">
        <v>13</v>
      </c>
      <c r="W10" s="2">
        <v>0.67</v>
      </c>
    </row>
    <row r="11" spans="1:27" x14ac:dyDescent="0.3">
      <c r="A11" s="41" t="s">
        <v>5</v>
      </c>
      <c r="B11" s="1">
        <f>'[1]Balance Sheet'!F53*$B$13</f>
        <v>-165.05415162454872</v>
      </c>
      <c r="C11" s="1">
        <f>'[1]Balance Sheet'!G53*$B$13</f>
        <v>-206.86054987391296</v>
      </c>
      <c r="D11" s="1">
        <f>'[1]Balance Sheet'!H53*$B$13</f>
        <v>-219.91744533310253</v>
      </c>
      <c r="E11" s="1">
        <f>'[1]Balance Sheet'!I53*$B$13</f>
        <v>-233.84162736854699</v>
      </c>
      <c r="F11" s="1">
        <f>'[1]Balance Sheet'!J53*$B$13</f>
        <v>-248.69337038701681</v>
      </c>
      <c r="G11" s="37">
        <f>'[1]Balance Sheet'!K53*$B$13</f>
        <v>-264.53729799291983</v>
      </c>
      <c r="H11" s="1">
        <f>'[1]Balance Sheet'!F53*$H$13</f>
        <v>-112.2206413251221</v>
      </c>
      <c r="I11" s="1">
        <f>'[1]Balance Sheet'!G53*$H$13</f>
        <v>-140.64489346819474</v>
      </c>
      <c r="J11" s="1">
        <f>'[1]Balance Sheet'!H53*$H$13</f>
        <v>-149.52230229265354</v>
      </c>
      <c r="K11" s="1">
        <f>'[1]Balance Sheet'!I53*$H$13</f>
        <v>-158.98938096086994</v>
      </c>
      <c r="L11" s="1">
        <f>'[1]Balance Sheet'!J53*$H$13</f>
        <v>-169.08711016019231</v>
      </c>
      <c r="M11" s="37">
        <f>'[1]Balance Sheet'!K53*$H$13</f>
        <v>-179.85942760597047</v>
      </c>
      <c r="N11" s="1">
        <f>'[1]Balance Sheet'!F53*$N$13</f>
        <v>-103.72520705032916</v>
      </c>
      <c r="O11" s="1">
        <f>'[1]Balance Sheet'!G53*$N$13</f>
        <v>-129.99765928350806</v>
      </c>
      <c r="P11" s="1">
        <f>'[1]Balance Sheet'!H53*$N$13</f>
        <v>-138.20302201815562</v>
      </c>
      <c r="Q11" s="1">
        <f>'[1]Balance Sheet'!I53*$N$13</f>
        <v>-146.9534148463124</v>
      </c>
      <c r="R11" s="1">
        <f>'[1]Balance Sheet'!J53*$N$13</f>
        <v>-156.28671609615469</v>
      </c>
      <c r="S11" s="37">
        <f>'[1]Balance Sheet'!K53*$N$13</f>
        <v>-166.24353726809963</v>
      </c>
      <c r="T11" s="1"/>
      <c r="V11" s="33" t="s">
        <v>14</v>
      </c>
      <c r="W11" s="8">
        <v>3.7999999999999999E-2</v>
      </c>
    </row>
    <row r="12" spans="1:27" x14ac:dyDescent="0.3">
      <c r="A12" s="41" t="s">
        <v>106</v>
      </c>
      <c r="B12" s="1">
        <f>DCF!B6*$B$13</f>
        <v>-64.703158750699558</v>
      </c>
      <c r="C12" s="1">
        <f>DCF!B6*$B$13</f>
        <v>-64.703158750699558</v>
      </c>
      <c r="D12" s="1">
        <f>DCF!C6*$B$13</f>
        <v>-64.703158750699558</v>
      </c>
      <c r="E12" s="1">
        <f>DCF!D6*$B$13</f>
        <v>-64.703158750699558</v>
      </c>
      <c r="F12" s="1">
        <f>DCF!E6*$B$13</f>
        <v>-64.703158750699558</v>
      </c>
      <c r="G12" s="37">
        <f>DCF!F6*$B$13</f>
        <v>-64.703158750699558</v>
      </c>
      <c r="H12" s="1">
        <f>DCF!B6*$H$13</f>
        <v>-43.991804503539356</v>
      </c>
      <c r="I12" s="1">
        <f>DCF!B6*$H$13</f>
        <v>-43.991804503539356</v>
      </c>
      <c r="J12" s="1">
        <f>DCF!C6*$H$13</f>
        <v>-43.991804503539356</v>
      </c>
      <c r="K12" s="1">
        <f>DCF!D6*$H$13</f>
        <v>-43.991804503539356</v>
      </c>
      <c r="L12" s="1">
        <f>DCF!E6*$H$13</f>
        <v>-43.991804503539356</v>
      </c>
      <c r="M12" s="37">
        <f>DCF!F6*$H$13</f>
        <v>-43.991804503539356</v>
      </c>
      <c r="N12" s="1">
        <f>DCF!B6*$N$13</f>
        <v>-40.661494861959234</v>
      </c>
      <c r="O12" s="1">
        <f>DCF!B6*$N$13</f>
        <v>-40.661494861959234</v>
      </c>
      <c r="P12" s="1">
        <f>DCF!C6*$N$13</f>
        <v>-40.661494861959234</v>
      </c>
      <c r="Q12" s="1">
        <f>DCF!D6*$N$13</f>
        <v>-40.661494861959234</v>
      </c>
      <c r="R12" s="1">
        <f>DCF!E6*$N$13</f>
        <v>-40.661494861959234</v>
      </c>
      <c r="S12" s="37">
        <f>DCF!F6*$N$13</f>
        <v>-40.661494861959234</v>
      </c>
      <c r="T12" s="1"/>
      <c r="V12" s="33" t="s">
        <v>16</v>
      </c>
      <c r="W12" s="8">
        <v>0.02</v>
      </c>
    </row>
    <row r="13" spans="1:27" x14ac:dyDescent="0.3">
      <c r="A13" s="41" t="s">
        <v>61</v>
      </c>
      <c r="B13" s="10">
        <f>(B3-B4)/((B3-B4)+(H3-H4)+(N3-N4))</f>
        <v>0.43321299638989169</v>
      </c>
      <c r="C13" s="1"/>
      <c r="D13" s="1"/>
      <c r="E13" s="1"/>
      <c r="F13" s="1"/>
      <c r="G13" s="37"/>
      <c r="H13" s="10">
        <f>(H3-H4)/((B3-B4)+(H3-H4)+(N3-N4))</f>
        <v>0.29454236568273517</v>
      </c>
      <c r="I13" s="1"/>
      <c r="J13" s="1"/>
      <c r="K13" s="1"/>
      <c r="L13" s="1"/>
      <c r="M13" s="37"/>
      <c r="N13" s="10">
        <f>(N3-N4)/((B3-B4)+(H3-H4)+(N3-N4))</f>
        <v>0.27224463792737313</v>
      </c>
      <c r="O13" s="1"/>
      <c r="P13" s="1"/>
      <c r="Q13" s="1"/>
      <c r="R13" s="1"/>
      <c r="S13" s="37"/>
      <c r="T13" s="1"/>
      <c r="V13" s="33" t="s">
        <v>48</v>
      </c>
      <c r="W13" s="31">
        <f>W8/'[1]Income Statement'!$F$40</f>
        <v>12.080269662921348</v>
      </c>
    </row>
    <row r="14" spans="1:27" x14ac:dyDescent="0.3">
      <c r="A14" s="41"/>
      <c r="B14" s="10"/>
      <c r="C14" s="1"/>
      <c r="D14" s="1"/>
      <c r="E14" s="1"/>
      <c r="F14" s="1"/>
      <c r="G14" s="37"/>
      <c r="H14" s="10"/>
      <c r="I14" s="1"/>
      <c r="J14" s="1"/>
      <c r="K14" s="1"/>
      <c r="L14" s="1"/>
      <c r="M14" s="37"/>
      <c r="N14" s="10"/>
      <c r="O14" s="1"/>
      <c r="P14" s="1"/>
      <c r="Q14" s="1"/>
      <c r="R14" s="1"/>
      <c r="S14" s="37"/>
      <c r="T14" s="1"/>
    </row>
    <row r="15" spans="1:27" s="3" customFormat="1" x14ac:dyDescent="0.3">
      <c r="A15" s="42" t="s">
        <v>6</v>
      </c>
      <c r="B15" s="5"/>
      <c r="C15" s="5">
        <f t="shared" ref="C15:S15" si="4">SUM(C12,C11,C8,C6)</f>
        <v>201.51828811100489</v>
      </c>
      <c r="D15" s="5">
        <f t="shared" si="4"/>
        <v>214.36083940975044</v>
      </c>
      <c r="E15" s="5">
        <f t="shared" si="4"/>
        <v>227.83096771892707</v>
      </c>
      <c r="F15" s="5">
        <f t="shared" si="4"/>
        <v>241.95995880658955</v>
      </c>
      <c r="G15" s="38">
        <f t="shared" si="4"/>
        <v>256.78070528418471</v>
      </c>
      <c r="H15" s="5"/>
      <c r="I15" s="5">
        <f t="shared" si="4"/>
        <v>341.53625527306815</v>
      </c>
      <c r="J15" s="5">
        <f t="shared" si="4"/>
        <v>373.66323006398613</v>
      </c>
      <c r="K15" s="5">
        <f t="shared" si="4"/>
        <v>408.44582149928374</v>
      </c>
      <c r="L15" s="5">
        <f t="shared" si="4"/>
        <v>446.10248759809065</v>
      </c>
      <c r="M15" s="38">
        <f t="shared" si="4"/>
        <v>486.86960453478866</v>
      </c>
      <c r="N15" s="5"/>
      <c r="O15" s="5">
        <f t="shared" si="4"/>
        <v>274.59648499333781</v>
      </c>
      <c r="P15" s="5">
        <f t="shared" si="4"/>
        <v>294.9531108673541</v>
      </c>
      <c r="Q15" s="5">
        <f t="shared" si="4"/>
        <v>316.61061908337911</v>
      </c>
      <c r="R15" s="5">
        <f t="shared" si="4"/>
        <v>339.65128879765717</v>
      </c>
      <c r="S15" s="38">
        <f t="shared" si="4"/>
        <v>364.16254447692188</v>
      </c>
      <c r="T15" s="5"/>
      <c r="U15"/>
      <c r="V15"/>
      <c r="AA15"/>
    </row>
    <row r="16" spans="1:27" x14ac:dyDescent="0.3">
      <c r="A16" s="58" t="s">
        <v>62</v>
      </c>
      <c r="B16" s="59"/>
      <c r="C16" s="59">
        <f>C15/((1+$W$4)^(C2-2024))</f>
        <v>190.47540270667787</v>
      </c>
      <c r="D16" s="59">
        <f>D15/((1+$W$4)^(D2-2024))</f>
        <v>191.51126259893149</v>
      </c>
      <c r="E16" s="59">
        <f>E15/((1+$W$4)^(E2-2024))</f>
        <v>192.39157969931165</v>
      </c>
      <c r="F16" s="59">
        <f>F15/((1+$W$4)^(F2-2024))</f>
        <v>193.12622116425743</v>
      </c>
      <c r="G16" s="60">
        <f>G15/((1+$W$4)^(G2-2024))</f>
        <v>193.72450666737925</v>
      </c>
      <c r="H16" s="59"/>
      <c r="I16" s="59">
        <f>I15/((1+$W$4)^(I2-2024))</f>
        <v>322.82060537470289</v>
      </c>
      <c r="J16" s="59">
        <f>J15/((1+$W$4)^(J2-2024))</f>
        <v>333.83297608552834</v>
      </c>
      <c r="K16" s="59">
        <f>K15/((1+$W$4)^(K2-2024))</f>
        <v>344.91157021628231</v>
      </c>
      <c r="L16" s="59">
        <f>L15/((1+$W$4)^(L2-2024))</f>
        <v>356.06754153343797</v>
      </c>
      <c r="M16" s="60">
        <f>M15/((1+$W$4)^(M2-2024))</f>
        <v>367.3117645091736</v>
      </c>
      <c r="N16" s="59"/>
      <c r="O16" s="59">
        <f>O15/((1+$W$4)^(O2-2024))</f>
        <v>259.54902927784417</v>
      </c>
      <c r="P16" s="59">
        <f>P15/((1+$W$4)^(P2-2024))</f>
        <v>263.51288241466108</v>
      </c>
      <c r="Q16" s="59">
        <f>Q15/((1+$W$4)^(Q2-2024))</f>
        <v>267.36144679934995</v>
      </c>
      <c r="R16" s="59">
        <f>R15/((1+$W$4)^(R2-2024))</f>
        <v>271.10093026381759</v>
      </c>
      <c r="S16" s="60">
        <f>S15/((1+$W$4)^(S2-2024))</f>
        <v>274.73718945297367</v>
      </c>
      <c r="T16" s="1"/>
    </row>
    <row r="17" spans="1:20" x14ac:dyDescent="0.3">
      <c r="A17" s="41"/>
      <c r="B17" s="11"/>
      <c r="C17" s="1"/>
      <c r="D17" s="1"/>
      <c r="E17" s="1"/>
      <c r="F17" s="1"/>
      <c r="G17" s="37"/>
      <c r="H17" s="1"/>
      <c r="I17" s="1"/>
      <c r="J17" s="1"/>
      <c r="K17" s="1"/>
      <c r="L17" s="1"/>
      <c r="M17" s="37"/>
      <c r="N17" s="1"/>
      <c r="O17" s="1"/>
      <c r="P17" s="1"/>
      <c r="Q17" s="1"/>
      <c r="R17" s="1"/>
      <c r="S17" s="37"/>
      <c r="T17" s="1"/>
    </row>
    <row r="18" spans="1:20" x14ac:dyDescent="0.3">
      <c r="A18" s="41" t="s">
        <v>44</v>
      </c>
      <c r="B18" s="1">
        <f>((G16*(1+$W$12))/($W$4-$W$12))/((1+$W$4)^5)</f>
        <v>3925.587753420532</v>
      </c>
      <c r="C18" s="1"/>
      <c r="D18" s="1"/>
      <c r="E18" s="1"/>
      <c r="F18" s="1"/>
      <c r="G18" s="37"/>
      <c r="H18" s="1">
        <f>((M16*(1+$W$12))/($W$4-$W$12))/((1+$W$4)^5)</f>
        <v>7443.119041826928</v>
      </c>
      <c r="I18" s="1"/>
      <c r="J18" s="1"/>
      <c r="K18" s="1"/>
      <c r="L18" s="1"/>
      <c r="M18" s="37"/>
      <c r="N18" s="1">
        <f>((S16*(1+$W$12))/($W$4-$W$12))/((1+$W$4)^5)</f>
        <v>5567.2096673733668</v>
      </c>
      <c r="O18" s="1"/>
      <c r="P18" s="1"/>
      <c r="Q18" s="1"/>
      <c r="R18" s="1"/>
      <c r="S18" s="37"/>
      <c r="T18" s="1"/>
    </row>
    <row r="19" spans="1:20" x14ac:dyDescent="0.3">
      <c r="A19" s="28" t="s">
        <v>63</v>
      </c>
      <c r="B19" s="109">
        <f>B18+SUM(C16:G16)</f>
        <v>4886.8167262570896</v>
      </c>
      <c r="C19" s="1"/>
      <c r="D19" s="1"/>
      <c r="E19" s="1"/>
      <c r="F19" s="1"/>
      <c r="G19" s="37"/>
      <c r="H19" s="109">
        <f>H18+SUM(I16:M16)</f>
        <v>9168.0634995460532</v>
      </c>
      <c r="I19" s="1"/>
      <c r="J19" s="1"/>
      <c r="K19" s="1"/>
      <c r="L19" s="1"/>
      <c r="M19" s="37"/>
      <c r="N19" s="109">
        <f>N18+SUM(O16:S16)</f>
        <v>6903.4711455820134</v>
      </c>
      <c r="O19" s="1"/>
      <c r="P19" s="1"/>
      <c r="Q19" s="1"/>
      <c r="R19" s="1"/>
      <c r="S19" s="37"/>
      <c r="T19" s="1"/>
    </row>
    <row r="20" spans="1:20" x14ac:dyDescent="0.3">
      <c r="B20" s="28"/>
      <c r="C20" s="1"/>
      <c r="D20" s="1"/>
      <c r="E20" s="1"/>
      <c r="F20" s="1"/>
      <c r="G20" s="37"/>
      <c r="H20" s="1"/>
      <c r="I20" s="1"/>
      <c r="J20" s="1"/>
      <c r="K20" s="1"/>
      <c r="L20" s="1"/>
      <c r="M20" s="37"/>
      <c r="N20" s="1"/>
      <c r="O20" s="1"/>
      <c r="P20" s="1"/>
      <c r="Q20" s="1"/>
      <c r="R20" s="1"/>
      <c r="S20" s="37"/>
      <c r="T20" s="1"/>
    </row>
    <row r="21" spans="1:20" x14ac:dyDescent="0.3">
      <c r="C21" s="1"/>
      <c r="D21" s="1"/>
      <c r="E21" s="1"/>
      <c r="F21" s="1"/>
      <c r="G21" s="37"/>
      <c r="H21" s="1"/>
      <c r="I21" s="1"/>
      <c r="J21" s="1"/>
      <c r="K21" s="1"/>
      <c r="L21" s="1"/>
      <c r="M21" s="37"/>
      <c r="N21" s="1"/>
      <c r="O21" s="1"/>
      <c r="P21" s="1"/>
      <c r="Q21" s="1"/>
      <c r="R21" s="1"/>
      <c r="S21" s="37"/>
      <c r="T21" s="1"/>
    </row>
    <row r="22" spans="1:20" x14ac:dyDescent="0.3">
      <c r="B22" s="26">
        <f>B19</f>
        <v>4886.8167262570896</v>
      </c>
      <c r="C22" s="25">
        <f>D22-0.005</f>
        <v>4.797538814674393E-2</v>
      </c>
      <c r="D22" s="25">
        <f>E22-0.005</f>
        <v>5.2975388146743928E-2</v>
      </c>
      <c r="E22" s="25">
        <v>5.7975388146743925E-2</v>
      </c>
      <c r="F22" s="25">
        <f>E22+0.005</f>
        <v>6.297538814674393E-2</v>
      </c>
      <c r="G22" s="25">
        <f>F22+0.005</f>
        <v>6.7975388146743934E-2</v>
      </c>
      <c r="H22" s="26">
        <f>H19</f>
        <v>9168.0634995460532</v>
      </c>
      <c r="I22" s="25">
        <f>J22-0.005</f>
        <v>4.797538814674393E-2</v>
      </c>
      <c r="J22" s="25">
        <f>K22-0.005</f>
        <v>5.2975388146743928E-2</v>
      </c>
      <c r="K22" s="25">
        <v>5.7975388146743925E-2</v>
      </c>
      <c r="L22" s="25">
        <f>K22+0.005</f>
        <v>6.297538814674393E-2</v>
      </c>
      <c r="M22" s="25">
        <f>L22+0.005</f>
        <v>6.7975388146743934E-2</v>
      </c>
      <c r="N22" s="26">
        <f>N19</f>
        <v>6903.4711455820134</v>
      </c>
      <c r="O22" s="25">
        <f>P22-0.005</f>
        <v>4.797538814674393E-2</v>
      </c>
      <c r="P22" s="25">
        <f>Q22-0.005</f>
        <v>5.2975388146743928E-2</v>
      </c>
      <c r="Q22" s="25">
        <v>5.7975388146743925E-2</v>
      </c>
      <c r="R22" s="25">
        <f>Q22+0.005</f>
        <v>6.297538814674393E-2</v>
      </c>
      <c r="S22" s="25">
        <f>R22+0.005</f>
        <v>6.7975388146743934E-2</v>
      </c>
      <c r="T22" s="1"/>
    </row>
    <row r="23" spans="1:20" x14ac:dyDescent="0.3">
      <c r="B23" s="25">
        <f>B24-0.005</f>
        <v>9.9999999999999985E-3</v>
      </c>
      <c r="C23" s="13">
        <f t="dataTable" ref="C23:G27" dt2D="1" dtr="1" r1="W4" r2="W12" ca="1"/>
        <v>5263.5337170491621</v>
      </c>
      <c r="D23" s="13">
        <v>4576.534153373429</v>
      </c>
      <c r="E23" s="13">
        <v>4038.1022966208466</v>
      </c>
      <c r="F23" s="13">
        <v>3605.8497866265707</v>
      </c>
      <c r="G23" s="15">
        <v>3252.0302431630239</v>
      </c>
      <c r="H23" s="25">
        <f>H24-0.005</f>
        <v>9.9999999999999985E-3</v>
      </c>
      <c r="I23" s="13">
        <f t="dataTable" ref="I23:M27" dt2D="1" dtr="1" r1="W4" r2="W12"/>
        <v>9880.4455126833091</v>
      </c>
      <c r="J23" s="13">
        <v>8578.8129624867179</v>
      </c>
      <c r="K23" s="13">
        <v>7558.8566930507823</v>
      </c>
      <c r="L23" s="13">
        <v>6740.2065210509136</v>
      </c>
      <c r="M23" s="15">
        <v>6070.2542104668173</v>
      </c>
      <c r="N23" s="25">
        <f>N24-0.005</f>
        <v>9.9999999999999985E-3</v>
      </c>
      <c r="O23" s="13">
        <f t="dataTable" ref="O23:S27" dt2D="1" dtr="1" r1="W4" r2="W12" ca="1"/>
        <v>7437.2030569098843</v>
      </c>
      <c r="P23" s="13">
        <v>6463.1740032007383</v>
      </c>
      <c r="Q23" s="13">
        <v>5699.8370723421285</v>
      </c>
      <c r="R23" s="13">
        <v>5087.0778264244991</v>
      </c>
      <c r="S23" s="15">
        <v>4585.5468610883636</v>
      </c>
      <c r="T23" s="1"/>
    </row>
    <row r="24" spans="1:20" x14ac:dyDescent="0.3">
      <c r="B24" s="25">
        <f>B25-0.005</f>
        <v>1.4999999999999999E-2</v>
      </c>
      <c r="C24" s="13">
        <v>5936.01546931757</v>
      </c>
      <c r="D24" s="22">
        <v>5070.8976325053663</v>
      </c>
      <c r="E24" s="24">
        <v>4413.0873901949299</v>
      </c>
      <c r="F24" s="17">
        <v>3897.4117494514321</v>
      </c>
      <c r="G24" s="15">
        <v>3483.3237177024107</v>
      </c>
      <c r="H24" s="25">
        <f>H25-0.005</f>
        <v>1.4999999999999999E-2</v>
      </c>
      <c r="I24" s="13">
        <v>11155.505974961536</v>
      </c>
      <c r="J24" s="22">
        <v>9516.1518926646331</v>
      </c>
      <c r="K24" s="24">
        <v>8269.8479803938171</v>
      </c>
      <c r="L24" s="17">
        <v>7293.023203210988</v>
      </c>
      <c r="M24" s="15">
        <v>6508.7986967273428</v>
      </c>
      <c r="N24" s="25">
        <f>N25-0.005</f>
        <v>1.4999999999999999E-2</v>
      </c>
      <c r="O24" s="13">
        <v>8390.9065906287997</v>
      </c>
      <c r="P24" s="22">
        <v>7164.2728737638836</v>
      </c>
      <c r="Q24" s="24">
        <v>6231.6353072045413</v>
      </c>
      <c r="R24" s="17">
        <v>5500.5666286204441</v>
      </c>
      <c r="S24" s="15">
        <v>4913.563797236091</v>
      </c>
      <c r="T24" s="1"/>
    </row>
    <row r="25" spans="1:20" x14ac:dyDescent="0.3">
      <c r="B25" s="25">
        <v>0.02</v>
      </c>
      <c r="C25" s="13">
        <v>6848.8805716724655</v>
      </c>
      <c r="D25" s="23">
        <v>5715.1800381202811</v>
      </c>
      <c r="E25" s="12">
        <v>4886.8167262570896</v>
      </c>
      <c r="F25" s="18">
        <v>4256.817651656037</v>
      </c>
      <c r="G25" s="15">
        <v>3762.8280527421698</v>
      </c>
      <c r="H25" s="25">
        <v>0.02</v>
      </c>
      <c r="I25" s="13">
        <v>12886.345801440162</v>
      </c>
      <c r="J25" s="23">
        <v>10737.744923508979</v>
      </c>
      <c r="K25" s="12">
        <v>9168.0634995460532</v>
      </c>
      <c r="L25" s="18">
        <v>7974.475531493079</v>
      </c>
      <c r="M25" s="15">
        <v>7038.7534879799077</v>
      </c>
      <c r="N25" s="25">
        <v>0.02</v>
      </c>
      <c r="O25" s="13">
        <v>9685.5181856465642</v>
      </c>
      <c r="P25" s="23">
        <v>8077.9845170541266</v>
      </c>
      <c r="Q25" s="12">
        <v>6903.4711455820134</v>
      </c>
      <c r="R25" s="18">
        <v>6010.2706879733569</v>
      </c>
      <c r="S25" s="15">
        <v>5309.9526525738038</v>
      </c>
      <c r="T25" s="1"/>
    </row>
    <row r="26" spans="1:20" x14ac:dyDescent="0.3">
      <c r="B26" s="25">
        <f>B25+0.005</f>
        <v>2.5000000000000001E-2</v>
      </c>
      <c r="C26" s="13">
        <v>8159.0687122822173</v>
      </c>
      <c r="D26" s="20">
        <v>6589.7657382722937</v>
      </c>
      <c r="E26" s="21">
        <v>5504.2075512921783</v>
      </c>
      <c r="F26" s="19">
        <v>4710.8653520736816</v>
      </c>
      <c r="G26" s="15">
        <v>4107.3706217788749</v>
      </c>
      <c r="H26" s="25">
        <f>H25+0.005</f>
        <v>2.5000000000000001E-2</v>
      </c>
      <c r="I26" s="13">
        <v>15370.530822970002</v>
      </c>
      <c r="J26" s="20">
        <v>12396.005007706268</v>
      </c>
      <c r="K26" s="21">
        <v>10338.668691612849</v>
      </c>
      <c r="L26" s="19">
        <v>8835.3736433571103</v>
      </c>
      <c r="M26" s="15">
        <v>7692.0241616726671</v>
      </c>
      <c r="N26" s="25">
        <f>N25+0.005</f>
        <v>2.5000000000000001E-2</v>
      </c>
      <c r="O26" s="13">
        <v>11543.607353599795</v>
      </c>
      <c r="P26" s="20">
        <v>9318.3088380657282</v>
      </c>
      <c r="Q26" s="21">
        <v>7779.0455526725273</v>
      </c>
      <c r="R26" s="19">
        <v>6654.1943259078798</v>
      </c>
      <c r="S26" s="15">
        <v>5798.5777557806932</v>
      </c>
      <c r="T26" s="1"/>
    </row>
    <row r="27" spans="1:20" x14ac:dyDescent="0.3">
      <c r="B27" s="25">
        <f>B26+0.005</f>
        <v>3.0000000000000002E-2</v>
      </c>
      <c r="C27" s="14">
        <v>10198.135767724796</v>
      </c>
      <c r="D27" s="14">
        <v>7845.0134296672959</v>
      </c>
      <c r="E27" s="14">
        <v>6342.2890855308679</v>
      </c>
      <c r="F27" s="14">
        <v>5302.6059579992425</v>
      </c>
      <c r="G27" s="16">
        <v>4542.6410505823678</v>
      </c>
      <c r="H27" s="25">
        <f>H26+0.005</f>
        <v>3.0000000000000002E-2</v>
      </c>
      <c r="I27" s="14">
        <v>19236.708267278118</v>
      </c>
      <c r="J27" s="14">
        <v>14776.020073193089</v>
      </c>
      <c r="K27" s="14">
        <v>11927.714974086126</v>
      </c>
      <c r="L27" s="14">
        <v>9957.3446827126845</v>
      </c>
      <c r="M27" s="16">
        <v>8517.3195875992678</v>
      </c>
      <c r="N27" s="25">
        <f>N26+0.005</f>
        <v>3.0000000000000002E-2</v>
      </c>
      <c r="O27" s="14">
        <v>14435.38166525314</v>
      </c>
      <c r="P27" s="14">
        <v>11098.482285059294</v>
      </c>
      <c r="Q27" s="14">
        <v>8967.6002131549576</v>
      </c>
      <c r="R27" s="14">
        <v>7493.3919770151942</v>
      </c>
      <c r="S27" s="16">
        <v>6415.8717487745016</v>
      </c>
      <c r="T27" s="1"/>
    </row>
    <row r="28" spans="1:20" x14ac:dyDescent="0.3">
      <c r="A28" s="28" t="s">
        <v>23</v>
      </c>
      <c r="B28" s="63" t="s">
        <v>22</v>
      </c>
      <c r="C28" s="30"/>
      <c r="D28" s="30"/>
      <c r="E28" s="30"/>
      <c r="F28" s="30"/>
      <c r="G28" s="30"/>
      <c r="H28" s="63" t="s">
        <v>22</v>
      </c>
      <c r="I28" s="30"/>
      <c r="J28" s="30"/>
      <c r="K28" s="30"/>
      <c r="L28" s="30"/>
      <c r="M28" s="30"/>
      <c r="N28" s="63" t="s">
        <v>22</v>
      </c>
      <c r="O28" s="30"/>
      <c r="P28" s="30"/>
      <c r="Q28" s="30"/>
      <c r="R28" s="30"/>
      <c r="S28" s="30"/>
      <c r="T28" s="1"/>
    </row>
    <row r="29" spans="1:20" x14ac:dyDescent="0.3">
      <c r="A29" s="28" t="s">
        <v>39</v>
      </c>
      <c r="B29" s="64">
        <f>IF(B28="Bull",D26,IF(B28="Bear",F24,IF(B28="Central",E25,"Error")))</f>
        <v>6589.7657382722937</v>
      </c>
      <c r="C29" s="30"/>
      <c r="D29" s="30"/>
      <c r="E29" s="30"/>
      <c r="F29" s="30"/>
      <c r="G29" s="65"/>
      <c r="H29" s="64">
        <f>IF(H28="Bull",J26,IF(H28="Bear",L24,IF(H28="Central",K25,"Error")))</f>
        <v>12396.005007706268</v>
      </c>
      <c r="I29" s="30"/>
      <c r="J29" s="30"/>
      <c r="K29" s="30"/>
      <c r="L29" s="30"/>
      <c r="M29" s="65"/>
      <c r="N29" s="64">
        <f>IF(N28="Bull",P26,IF(N28="Bear",R24,IF(N28="Central",Q25,"Error")))</f>
        <v>9318.3088380657282</v>
      </c>
      <c r="O29" s="30"/>
      <c r="P29" s="30"/>
      <c r="Q29" s="30"/>
      <c r="R29" s="30"/>
      <c r="S29" s="65"/>
      <c r="T29" s="1"/>
    </row>
    <row r="30" spans="1:20" x14ac:dyDescent="0.3">
      <c r="D30" s="28"/>
      <c r="E30" s="2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28" t="s">
        <v>24</v>
      </c>
      <c r="B31" s="1">
        <f>DCF!B25</f>
        <v>2986</v>
      </c>
      <c r="C31" s="1"/>
      <c r="D31" s="28"/>
      <c r="E31" s="27"/>
      <c r="F31" s="1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28" t="s">
        <v>64</v>
      </c>
      <c r="B32" s="61">
        <f>B29+H29+N29-B31</f>
        <v>25318.079584044288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8" t="s">
        <v>55</v>
      </c>
      <c r="B33" s="62">
        <f>B32/DCF!B36</f>
        <v>28.901917333383889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39" t="s">
        <v>65</v>
      </c>
      <c r="B34" s="82">
        <f>B33*2</f>
        <v>57.803834666767777</v>
      </c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8" t="s">
        <v>66</v>
      </c>
      <c r="B35" s="81">
        <f>DCF!I9</f>
        <v>36.82</v>
      </c>
      <c r="C35" s="1"/>
    </row>
    <row r="36" spans="1:20" x14ac:dyDescent="0.3">
      <c r="A36" s="28" t="s">
        <v>21</v>
      </c>
      <c r="B36" s="83">
        <f>B34-B35</f>
        <v>20.983834666767777</v>
      </c>
      <c r="C36" s="10">
        <f>B36/B35</f>
        <v>0.56990316857055345</v>
      </c>
    </row>
    <row r="38" spans="1:20" x14ac:dyDescent="0.3">
      <c r="A38" s="28" t="s">
        <v>81</v>
      </c>
      <c r="B38">
        <v>7250</v>
      </c>
      <c r="H38">
        <v>16800</v>
      </c>
      <c r="N38">
        <v>12140</v>
      </c>
    </row>
  </sheetData>
  <dataValidations disablePrompts="1" count="1">
    <dataValidation type="list" allowBlank="1" showInputMessage="1" showErrorMessage="1" sqref="B28 H28 N28" xr:uid="{B110F3C2-1E4E-45A0-BB92-5A75057DEE2A}">
      <formula1>$AA$2:$AA$4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3436-3D57-4757-9CB9-CA7911356AEE}">
  <dimension ref="A1:BL57"/>
  <sheetViews>
    <sheetView showGridLines="0" tabSelected="1" zoomScaleNormal="100" workbookViewId="0">
      <pane xSplit="1" ySplit="3" topLeftCell="AE4" activePane="bottomRight" state="frozen"/>
      <selection pane="topRight" activeCell="B1" sqref="B1"/>
      <selection pane="bottomLeft" activeCell="A4" sqref="A4"/>
      <selection pane="bottomRight" activeCell="AP3" sqref="AP3:AW3"/>
    </sheetView>
  </sheetViews>
  <sheetFormatPr defaultRowHeight="14.4" x14ac:dyDescent="0.3"/>
  <cols>
    <col min="1" max="1" width="31.77734375" style="113" bestFit="1" customWidth="1"/>
    <col min="2" max="2" width="16.6640625" bestFit="1" customWidth="1"/>
    <col min="3" max="3" width="11.88671875" bestFit="1" customWidth="1"/>
    <col min="4" max="4" width="15" bestFit="1" customWidth="1"/>
    <col min="5" max="5" width="10.33203125" customWidth="1"/>
    <col min="6" max="7" width="7.77734375" bestFit="1" customWidth="1"/>
    <col min="8" max="35" width="8.77734375" customWidth="1"/>
    <col min="37" max="49" width="8.77734375" customWidth="1"/>
    <col min="51" max="51" width="15.77734375" bestFit="1" customWidth="1"/>
    <col min="52" max="52" width="13.21875" bestFit="1" customWidth="1"/>
    <col min="53" max="53" width="13.5546875" bestFit="1" customWidth="1"/>
    <col min="54" max="54" width="8.6640625" bestFit="1" customWidth="1"/>
    <col min="55" max="55" width="11.5546875" bestFit="1" customWidth="1"/>
    <col min="56" max="56" width="11.5546875" customWidth="1"/>
    <col min="57" max="57" width="8.6640625" customWidth="1"/>
    <col min="58" max="58" width="20.77734375" bestFit="1" customWidth="1"/>
    <col min="59" max="61" width="8.77734375" customWidth="1"/>
  </cols>
  <sheetData>
    <row r="1" spans="1:64" x14ac:dyDescent="0.3">
      <c r="A1" s="113" t="s">
        <v>22</v>
      </c>
    </row>
    <row r="2" spans="1:64" x14ac:dyDescent="0.3">
      <c r="A2" s="114" t="s">
        <v>75</v>
      </c>
      <c r="B2" s="68" t="s">
        <v>69</v>
      </c>
      <c r="C2" s="68"/>
      <c r="D2" s="68"/>
      <c r="E2" s="68"/>
      <c r="F2" s="68"/>
      <c r="G2" s="68"/>
      <c r="H2" s="68"/>
      <c r="I2" s="68"/>
      <c r="J2" s="68" t="s">
        <v>70</v>
      </c>
      <c r="K2" s="68"/>
      <c r="L2" s="68"/>
      <c r="M2" s="68"/>
      <c r="N2" s="68"/>
      <c r="O2" s="68"/>
      <c r="P2" s="68"/>
      <c r="Q2" s="68"/>
      <c r="R2" s="68" t="s">
        <v>71</v>
      </c>
      <c r="S2" s="68"/>
      <c r="T2" s="68"/>
      <c r="U2" s="68"/>
      <c r="V2" s="68"/>
      <c r="W2" s="68"/>
      <c r="X2" s="68"/>
      <c r="Y2" s="68"/>
      <c r="Z2" s="68" t="s">
        <v>72</v>
      </c>
      <c r="AA2" s="68"/>
      <c r="AB2" s="68"/>
      <c r="AC2" s="68"/>
      <c r="AD2" s="68"/>
      <c r="AE2" s="68"/>
      <c r="AF2" s="68"/>
      <c r="AG2" s="68"/>
      <c r="AH2" s="68" t="s">
        <v>73</v>
      </c>
      <c r="AI2" s="68"/>
      <c r="AJ2" s="68"/>
      <c r="AK2" s="68"/>
      <c r="AL2" s="68"/>
      <c r="AM2" s="68"/>
      <c r="AN2" s="68"/>
      <c r="AO2" s="68"/>
      <c r="AP2" s="68" t="s">
        <v>74</v>
      </c>
      <c r="AQ2" s="68"/>
      <c r="AR2" s="68"/>
      <c r="AS2" s="68"/>
      <c r="AT2" s="68"/>
      <c r="AU2" s="68"/>
      <c r="AV2" s="68"/>
      <c r="AW2" s="68"/>
    </row>
    <row r="3" spans="1:64" x14ac:dyDescent="0.3">
      <c r="A3" s="114" t="s">
        <v>0</v>
      </c>
      <c r="B3" s="4">
        <f>YEAR(DATEVALUE("JAN-2025"))</f>
        <v>2025</v>
      </c>
      <c r="C3" s="4">
        <f>YEAR(DATEVALUE("JAN-2026"))</f>
        <v>2026</v>
      </c>
      <c r="D3" s="4">
        <f>YEAR(DATEVALUE("JAN-2027"))</f>
        <v>2027</v>
      </c>
      <c r="E3" s="4">
        <f>YEAR(DATEVALUE("JAN-2028"))</f>
        <v>2028</v>
      </c>
      <c r="F3" s="4">
        <f>YEAR(DATEVALUE("JAN-2029"))</f>
        <v>2029</v>
      </c>
      <c r="G3" s="4">
        <f>YEAR(DATEVALUE("JAN-2030"))</f>
        <v>2030</v>
      </c>
      <c r="H3" s="4">
        <f>YEAR(DATEVALUE("JAN-2031"))</f>
        <v>2031</v>
      </c>
      <c r="I3" s="4">
        <f>YEAR(DATEVALUE("JAN-2032"))</f>
        <v>2032</v>
      </c>
      <c r="J3" s="4">
        <f>YEAR(DATEVALUE("JAN-2025"))</f>
        <v>2025</v>
      </c>
      <c r="K3" s="4">
        <f>YEAR(DATEVALUE("JAN-2026"))</f>
        <v>2026</v>
      </c>
      <c r="L3" s="4">
        <f>YEAR(DATEVALUE("JAN-2027"))</f>
        <v>2027</v>
      </c>
      <c r="M3" s="4">
        <f>YEAR(DATEVALUE("JAN-2028"))</f>
        <v>2028</v>
      </c>
      <c r="N3" s="4">
        <f>YEAR(DATEVALUE("JAN-2029"))</f>
        <v>2029</v>
      </c>
      <c r="O3" s="4">
        <f>YEAR(DATEVALUE("JAN-2030"))</f>
        <v>2030</v>
      </c>
      <c r="P3" s="4">
        <f>YEAR(DATEVALUE("JAN-2031"))</f>
        <v>2031</v>
      </c>
      <c r="Q3" s="4">
        <f>YEAR(DATEVALUE("JAN-2032"))</f>
        <v>2032</v>
      </c>
      <c r="R3" s="4">
        <f>YEAR(DATEVALUE("JAN-2025"))</f>
        <v>2025</v>
      </c>
      <c r="S3" s="4">
        <f>YEAR(DATEVALUE("JAN-2026"))</f>
        <v>2026</v>
      </c>
      <c r="T3" s="4">
        <f>YEAR(DATEVALUE("JAN-2027"))</f>
        <v>2027</v>
      </c>
      <c r="U3" s="4">
        <f>YEAR(DATEVALUE("JAN-2028"))</f>
        <v>2028</v>
      </c>
      <c r="V3" s="4">
        <f>YEAR(DATEVALUE("JAN-2029"))</f>
        <v>2029</v>
      </c>
      <c r="W3" s="4">
        <f>YEAR(DATEVALUE("JAN-2030"))</f>
        <v>2030</v>
      </c>
      <c r="X3" s="4">
        <f>YEAR(DATEVALUE("JAN-2031"))</f>
        <v>2031</v>
      </c>
      <c r="Y3" s="4">
        <f>YEAR(DATEVALUE("JAN-2032"))</f>
        <v>2032</v>
      </c>
      <c r="Z3" s="4">
        <f>YEAR(DATEVALUE("JAN-2025"))</f>
        <v>2025</v>
      </c>
      <c r="AA3" s="4">
        <f>YEAR(DATEVALUE("JAN-2026"))</f>
        <v>2026</v>
      </c>
      <c r="AB3" s="4">
        <f>YEAR(DATEVALUE("JAN-2027"))</f>
        <v>2027</v>
      </c>
      <c r="AC3" s="4">
        <f>YEAR(DATEVALUE("JAN-2028"))</f>
        <v>2028</v>
      </c>
      <c r="AD3" s="4">
        <f>YEAR(DATEVALUE("JAN-2029"))</f>
        <v>2029</v>
      </c>
      <c r="AE3" s="4">
        <f>YEAR(DATEVALUE("JAN-2030"))</f>
        <v>2030</v>
      </c>
      <c r="AF3" s="4">
        <f>YEAR(DATEVALUE("JAN-2031"))</f>
        <v>2031</v>
      </c>
      <c r="AG3" s="4">
        <f>YEAR(DATEVALUE("JAN-2032"))</f>
        <v>2032</v>
      </c>
      <c r="AH3" s="4">
        <f>YEAR(DATEVALUE("JAN-2025"))</f>
        <v>2025</v>
      </c>
      <c r="AI3" s="4">
        <f>YEAR(DATEVALUE("JAN-2026"))</f>
        <v>2026</v>
      </c>
      <c r="AJ3" s="4">
        <f>YEAR(DATEVALUE("JAN-2027"))</f>
        <v>2027</v>
      </c>
      <c r="AK3" s="4">
        <f>YEAR(DATEVALUE("JAN-2028"))</f>
        <v>2028</v>
      </c>
      <c r="AL3" s="4">
        <f>YEAR(DATEVALUE("JAN-2029"))</f>
        <v>2029</v>
      </c>
      <c r="AM3" s="4">
        <f>YEAR(DATEVALUE("JAN-2030"))</f>
        <v>2030</v>
      </c>
      <c r="AN3" s="4">
        <f>YEAR(DATEVALUE("JAN-2031"))</f>
        <v>2031</v>
      </c>
      <c r="AO3" s="4">
        <f>YEAR(DATEVALUE("JAN-2032"))</f>
        <v>2032</v>
      </c>
      <c r="AP3" s="4">
        <f>YEAR(DATEVALUE("JAN-2025"))</f>
        <v>2025</v>
      </c>
      <c r="AQ3" s="4">
        <f>YEAR(DATEVALUE("JAN-2026"))</f>
        <v>2026</v>
      </c>
      <c r="AR3" s="4">
        <f>YEAR(DATEVALUE("JAN-2027"))</f>
        <v>2027</v>
      </c>
      <c r="AS3" s="4">
        <f>YEAR(DATEVALUE("JAN-2028"))</f>
        <v>2028</v>
      </c>
      <c r="AT3" s="4">
        <f>YEAR(DATEVALUE("JAN-2029"))</f>
        <v>2029</v>
      </c>
      <c r="AU3" s="4">
        <f>YEAR(DATEVALUE("JAN-2030"))</f>
        <v>2030</v>
      </c>
      <c r="AV3" s="4">
        <f>YEAR(DATEVALUE("JAN-2031"))</f>
        <v>2031</v>
      </c>
      <c r="AW3" s="4">
        <f>YEAR(DATEVALUE("JAN-2032"))</f>
        <v>2032</v>
      </c>
      <c r="BF3" s="108" t="s">
        <v>75</v>
      </c>
      <c r="BG3" s="105" t="s">
        <v>101</v>
      </c>
      <c r="BH3" s="105" t="s">
        <v>98</v>
      </c>
      <c r="BI3" s="105" t="s">
        <v>103</v>
      </c>
      <c r="BJ3" s="105" t="s">
        <v>99</v>
      </c>
      <c r="BK3" s="105" t="s">
        <v>100</v>
      </c>
      <c r="BL3" s="106" t="s">
        <v>102</v>
      </c>
    </row>
    <row r="4" spans="1:64" x14ac:dyDescent="0.3">
      <c r="A4" s="113" t="s">
        <v>88</v>
      </c>
      <c r="B4" s="69">
        <f>BG17*(1+$AZ$11)*(1-_xlfn.XLOOKUP(Scenario,AY7:AY9,BC7:BC9,,0))</f>
        <v>291.363</v>
      </c>
      <c r="C4" s="69">
        <f>B4*(1+$AZ$11)*(1-_xlfn.XLOOKUP(Scenario,AY7:AY9,BC7:BC9,,0))</f>
        <v>292.73240609999999</v>
      </c>
      <c r="D4" s="69">
        <f>C4*(1+$AZ$11)*(1-_xlfn.XLOOKUP(Scenario,AY7:AY9,BC7:BC9,,0))</f>
        <v>294.10824840867002</v>
      </c>
      <c r="E4" s="69">
        <f>D4*(1+$AZ$11)*(1-_xlfn.XLOOKUP(Scenario,AY7:AY9,BC7:BC9,,0))</f>
        <v>295.4905571761908</v>
      </c>
      <c r="F4" s="69">
        <f>E4*(1+$AZ$11)*(1-_xlfn.XLOOKUP(Scenario,AY7:AY9,BC7:BC9,,0))</f>
        <v>296.8793627949189</v>
      </c>
      <c r="G4" s="69">
        <f>F4*(1+$AZ$11)*(1-_xlfn.XLOOKUP(Scenario,AY7:AY9,BC7:BC9,,0))</f>
        <v>298.27469580005504</v>
      </c>
      <c r="H4" s="69">
        <f>G4*(1+$AZ$11)*(1-_xlfn.XLOOKUP(Scenario,AY7:AY9,BC7:BC9,,0))</f>
        <v>299.6765868703153</v>
      </c>
      <c r="I4" s="69">
        <f>H4*(1+$AZ$11)*(1-_xlfn.XLOOKUP(Scenario,AY7:AY9,BC7:BC9,,0))</f>
        <v>301.08506682860582</v>
      </c>
      <c r="J4" s="69">
        <f>BH17*(1+$AZ$11)*(1-_xlfn.XLOOKUP(Scenario,AY7:AY9,BC7:BC9,,0))</f>
        <v>218.52224999999999</v>
      </c>
      <c r="K4" s="69">
        <f>J4*(1+$AZ$11)*(1-_xlfn.XLOOKUP(Scenario,AY7:AY9,BC7:BC9,,0))</f>
        <v>219.54930457499998</v>
      </c>
      <c r="L4" s="69">
        <f>K4*(1+$AZ$11)*(1-_xlfn.XLOOKUP(Scenario,AY7:AY9,BC7:BC9,,0))</f>
        <v>220.58118630650247</v>
      </c>
      <c r="M4" s="69">
        <f>L4*(1+$AZ$11)*(1-_xlfn.XLOOKUP(Scenario,AY7:AY9,BC7:BC9,,0))</f>
        <v>221.61791788214302</v>
      </c>
      <c r="N4" s="69">
        <f>M4*(1+$AZ$11)*(1-_xlfn.XLOOKUP(Scenario,AY7:AY9,BC7:BC9,,0))</f>
        <v>222.65952209618911</v>
      </c>
      <c r="O4" s="69">
        <f>N4*(1+$AZ$11)*(1-_xlfn.XLOOKUP(Scenario,AY7:AY9,BC7:BC9,,0))</f>
        <v>223.7060218500412</v>
      </c>
      <c r="P4" s="69">
        <f>O4*(1+$AZ$11)*(1-_xlfn.XLOOKUP(Scenario,AY7:AY9,BC7:BC9,,0))</f>
        <v>224.75744015273639</v>
      </c>
      <c r="Q4" s="69">
        <f>P4*(1+$AZ$11)*(1-_xlfn.XLOOKUP(Scenario,AY7:AY9,BC7:BC9,,0))</f>
        <v>225.81380012145425</v>
      </c>
      <c r="R4" s="69">
        <f>BI17*(1+$AZ$11)*(1-_xlfn.XLOOKUP(Scenario,AY7:AY9,BC7:BC9,,0))</f>
        <v>337.57920000000001</v>
      </c>
      <c r="S4" s="69">
        <f>R4*(1+$AZ$11)*(1-_xlfn.XLOOKUP(Scenario,AY7:AY9,BC7:BC9,,0))</f>
        <v>339.16582224000001</v>
      </c>
      <c r="T4" s="69">
        <f>S4*(1+$AZ$11)*(1-_xlfn.XLOOKUP(Scenario,AY7:AY9,BC7:BC9,,0))</f>
        <v>340.75990160452801</v>
      </c>
      <c r="U4" s="69">
        <f>T4*(1+$AZ$11)*(1-_xlfn.XLOOKUP(Scenario,AY7:AY9,BC7:BC9,,0))</f>
        <v>342.36147314206931</v>
      </c>
      <c r="V4" s="69">
        <f>U4*(1+$AZ$11)*(1-_xlfn.XLOOKUP(Scenario,AY7:AY9,BC7:BC9,,0))</f>
        <v>343.97057206583702</v>
      </c>
      <c r="W4" s="69">
        <f>V4*(1+$AZ$11)*(1-_xlfn.XLOOKUP(Scenario,AY7:AY9,BC7:BC9,,0))</f>
        <v>345.58723375454645</v>
      </c>
      <c r="X4" s="69">
        <f>W4*(1+$AZ$11)*(1-_xlfn.XLOOKUP(Scenario,AY7:AY9,BC7:BC9,,0))</f>
        <v>347.21149375319277</v>
      </c>
      <c r="Y4" s="69">
        <f>X4*(1+$AZ$11)*(1-_xlfn.XLOOKUP(Scenario,AY7:AY9,BC7:BC9,,0))</f>
        <v>348.84338777383277</v>
      </c>
      <c r="Z4" s="69">
        <f>BJ17*(1+$AZ$11)*(1-_xlfn.XLOOKUP(Scenario,AY7:AY9,BC7:BC9,,0))</f>
        <v>421.97400000000005</v>
      </c>
      <c r="AA4" s="69">
        <f>Z4*(1+$AZ$11)*(1-_xlfn.XLOOKUP(Scenario,AY7:AY9,BC7:BC9,,0))</f>
        <v>423.95727780000004</v>
      </c>
      <c r="AB4" s="69">
        <f>AA4*(1+$AZ$11)*(1-_xlfn.XLOOKUP(Scenario,AY7:AY9,BC7:BC9,,0))</f>
        <v>425.94987700566003</v>
      </c>
      <c r="AC4" s="69">
        <f>AB4*(1+$AZ$11)*(1-_xlfn.XLOOKUP(Scenario,AY7:AY9,BC7:BC9,,0))</f>
        <v>427.95184142758666</v>
      </c>
      <c r="AD4" s="69">
        <f>AC4*(1+$AZ$11)*(1-_xlfn.XLOOKUP(Scenario,AY7:AY9,BC7:BC9,,0))</f>
        <v>429.96321508229636</v>
      </c>
      <c r="AE4" s="69">
        <f>AD4*(1+$AZ$11)*(1-_xlfn.XLOOKUP(Scenario,AY7:AY9,BC7:BC9,,0))</f>
        <v>431.98404219318314</v>
      </c>
      <c r="AF4" s="69">
        <f>AE4*(1+$AZ$11)*(1-_xlfn.XLOOKUP(Scenario,AY7:AY9,BC7:BC9,,0))</f>
        <v>434.01436719149115</v>
      </c>
      <c r="AG4" s="69">
        <f>AF4*(1+$AZ$11)*(1-_xlfn.XLOOKUP(Scenario,AY7:AY9,BC7:BC9,,0))</f>
        <v>436.05423471729114</v>
      </c>
      <c r="AH4" s="69">
        <f>BK17*(1+$AZ$11)*(1-_xlfn.XLOOKUP(Scenario,AY7:AY9,BC7:BC9,,0))</f>
        <v>182.95586999999998</v>
      </c>
      <c r="AI4" s="69">
        <f>AH4*(1+$AZ$11)*(1-_xlfn.XLOOKUP(Scenario,AY7:AY9,BC7:BC9,,0))</f>
        <v>183.81576258899997</v>
      </c>
      <c r="AJ4" s="69">
        <f>AI4*(1+$AZ$11)*(1-_xlfn.XLOOKUP(Scenario,AY7:AY9,BC7:BC9,,0))</f>
        <v>184.67969667316828</v>
      </c>
      <c r="AK4" s="69">
        <f>AJ4*(1+$AZ$11)*(1-_xlfn.XLOOKUP(Scenario,AY7:AY9,BC7:BC9,,0))</f>
        <v>185.54769124753219</v>
      </c>
      <c r="AL4" s="69">
        <f>AK4*(1+$AZ$11)*(1-_xlfn.XLOOKUP(Scenario,AY7:AY9,BC7:BC9,,0))</f>
        <v>186.4197653963956</v>
      </c>
      <c r="AM4" s="69">
        <f>AL4*(1+$AZ$11)*(1-_xlfn.XLOOKUP(Scenario,AY7:AY9,BC7:BC9,,0))</f>
        <v>187.29593829375867</v>
      </c>
      <c r="AN4" s="69">
        <f>AM4*(1+$AZ$11)*(1-_xlfn.XLOOKUP(Scenario,AY7:AY9,BC7:BC9,,0))</f>
        <v>188.17622920373935</v>
      </c>
      <c r="AO4" s="69">
        <f>AN4*(1+$AZ$11)*(1-_xlfn.XLOOKUP(Scenario,AY7:AY9,BC7:BC9,,0))</f>
        <v>189.06065748099692</v>
      </c>
      <c r="AP4" s="69">
        <f>BL17*(1+$AZ$11)*(1-_xlfn.XLOOKUP(Scenario,AY7:AY9,BC7:BC9,,0))</f>
        <v>365.91173999999995</v>
      </c>
      <c r="AQ4" s="69">
        <f>AP4*(1+$AZ$11)*(1-_xlfn.XLOOKUP(Scenario,AY7:AY9,BC7:BC9,,0))</f>
        <v>367.63152517799995</v>
      </c>
      <c r="AR4" s="69">
        <f>AQ4*(1+$AZ$11)*(1-_xlfn.XLOOKUP(Scenario,AY7:AY9,BC7:BC9,,0))</f>
        <v>369.35939334633656</v>
      </c>
      <c r="AS4" s="69">
        <f>AR4*(1+$AZ$11)*(1-_xlfn.XLOOKUP(Scenario,AY7:AY9,BC7:BC9,,0))</f>
        <v>371.09538249506437</v>
      </c>
      <c r="AT4" s="69">
        <f>AS4*(1+$AZ$11)*(1-_xlfn.XLOOKUP(Scenario,AY7:AY9,BC7:BC9,,0))</f>
        <v>372.83953079279121</v>
      </c>
      <c r="AU4" s="69">
        <f>AT4*(1+$AZ$11)*(1-_xlfn.XLOOKUP(Scenario,AY7:AY9,BC7:BC9,,0))</f>
        <v>374.59187658751733</v>
      </c>
      <c r="AV4" s="69">
        <f>AU4*(1+$AZ$11)*(1-_xlfn.XLOOKUP(Scenario,AY7:AY9,BC7:BC9,,0))</f>
        <v>376.35245840747871</v>
      </c>
      <c r="AW4" s="69">
        <f>AV4*(1+$AZ$11)*(1-_xlfn.XLOOKUP(Scenario,AY7:AY9,BC7:BC9,,0))</f>
        <v>378.12131496199385</v>
      </c>
      <c r="BE4" s="36"/>
      <c r="BF4" t="s">
        <v>76</v>
      </c>
      <c r="BG4" s="85">
        <v>2027</v>
      </c>
      <c r="BH4" s="85">
        <v>2028</v>
      </c>
      <c r="BI4" s="85">
        <v>2027</v>
      </c>
      <c r="BJ4" s="85">
        <v>2027</v>
      </c>
      <c r="BK4" s="85">
        <v>2027</v>
      </c>
      <c r="BL4" s="107">
        <v>2028</v>
      </c>
    </row>
    <row r="5" spans="1:64" x14ac:dyDescent="0.3">
      <c r="A5" s="124" t="s">
        <v>85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BE5" t="s">
        <v>112</v>
      </c>
      <c r="BF5" s="70" t="s">
        <v>36</v>
      </c>
      <c r="BG5" s="75">
        <v>0.35</v>
      </c>
      <c r="BH5" s="75">
        <v>0.25</v>
      </c>
      <c r="BI5" s="75">
        <v>0.45</v>
      </c>
      <c r="BJ5" s="75">
        <v>0.4</v>
      </c>
      <c r="BK5" s="75">
        <v>0.45</v>
      </c>
      <c r="BL5" s="76">
        <v>0.3</v>
      </c>
    </row>
    <row r="6" spans="1:64" s="69" customFormat="1" x14ac:dyDescent="0.3">
      <c r="A6" s="115" t="s">
        <v>87</v>
      </c>
      <c r="B6" s="86">
        <f t="shared" ref="B6:I6" si="0">IF(B3&lt;$BG$4,0,-(MIN(1,MAX(0,((B3-$BG$4+1)*_xlfn.XLOOKUP(Scenario,$AY$7:$AY$9,$BA$7:$BA$9,1,0)/$BG$18)))^2)+2*MIN(1,MAX(0,((B3-$BG$4+1)*_xlfn.XLOOKUP(Scenario,$AY$7:$AY$9,$BA$7:$BA$9,1,0)/$BG$18))))</f>
        <v>0</v>
      </c>
      <c r="C6" s="86">
        <f t="shared" si="0"/>
        <v>0</v>
      </c>
      <c r="D6" s="86">
        <f t="shared" si="0"/>
        <v>0.39160000000000006</v>
      </c>
      <c r="E6" s="86">
        <f t="shared" si="0"/>
        <v>0.68640000000000012</v>
      </c>
      <c r="F6" s="86">
        <f t="shared" si="0"/>
        <v>0.88440000000000007</v>
      </c>
      <c r="G6" s="86">
        <f t="shared" si="0"/>
        <v>0.98560000000000003</v>
      </c>
      <c r="H6" s="86">
        <f t="shared" si="0"/>
        <v>1</v>
      </c>
      <c r="I6" s="86">
        <f t="shared" si="0"/>
        <v>1</v>
      </c>
      <c r="J6" s="86">
        <f t="shared" ref="J6:Q6" si="1">IF(J3&lt;$BH$4,0,-(MIN(1,MAX(0,((J3-$BH$4+1)*_xlfn.XLOOKUP(Scenario,$AY$7:$AY$9,$BA$7:$BA$9,1,0)/$BH$18)))^2)+2*MIN(1,MAX(0,((J3-$BH$4+1)*_xlfn.XLOOKUP(Scenario,$AY$7:$AY$9,$BA$7:$BA$9,1,0)/$BH$18))))</f>
        <v>0</v>
      </c>
      <c r="K6" s="86">
        <f t="shared" si="1"/>
        <v>0</v>
      </c>
      <c r="L6" s="86">
        <f t="shared" si="1"/>
        <v>0</v>
      </c>
      <c r="M6" s="86">
        <f t="shared" si="1"/>
        <v>0.47437500000000005</v>
      </c>
      <c r="N6" s="86">
        <f t="shared" si="1"/>
        <v>0.7975000000000001</v>
      </c>
      <c r="O6" s="86">
        <f t="shared" si="1"/>
        <v>0.96937499999999999</v>
      </c>
      <c r="P6" s="86">
        <f t="shared" si="1"/>
        <v>1</v>
      </c>
      <c r="Q6" s="86">
        <f t="shared" si="1"/>
        <v>1</v>
      </c>
      <c r="R6" s="86">
        <f t="shared" ref="R6:Y6" si="2">IF(R3&lt;$BI$4,0,-(MIN(1,MAX(0,((R3-$BI$4+1)*_xlfn.XLOOKUP(Scenario,$AY$7:$AY$9,$BA$7:$BA$9,1,0)/$BI$18)))^2)+2*MIN(1,MAX(0,((R3-$BI$4+1)*_xlfn.XLOOKUP(Scenario,$AY$7:$AY$9,$BA$7:$BA$9,1,0)/$BI$18))))</f>
        <v>0</v>
      </c>
      <c r="S6" s="86">
        <f t="shared" si="2"/>
        <v>0</v>
      </c>
      <c r="T6" s="86">
        <f t="shared" si="2"/>
        <v>0.59888888888888892</v>
      </c>
      <c r="U6" s="86">
        <f t="shared" si="2"/>
        <v>0.92888888888888888</v>
      </c>
      <c r="V6" s="86">
        <f t="shared" si="2"/>
        <v>1</v>
      </c>
      <c r="W6" s="86">
        <f t="shared" si="2"/>
        <v>1</v>
      </c>
      <c r="X6" s="86">
        <f t="shared" si="2"/>
        <v>1</v>
      </c>
      <c r="Y6" s="86">
        <f t="shared" si="2"/>
        <v>1</v>
      </c>
      <c r="Z6" s="86">
        <f t="shared" ref="Z6:AG6" si="3">IF(Z3&lt;$BJ$4,0,-(MIN(1,MAX(0,((Z3-$BJ$4+1)*_xlfn.XLOOKUP(Scenario,$AY$7:$AY$9,$BA$7:$BA$9,1,0)/$BJ$18)))^2)+2*MIN(1,MAX(0,((Z3-$BJ$4+1)*_xlfn.XLOOKUP(Scenario,$AY$7:$AY$9,$BA$7:$BA$9,1,0)/$BJ$18))))</f>
        <v>0</v>
      </c>
      <c r="AA6" s="86">
        <f t="shared" si="3"/>
        <v>0</v>
      </c>
      <c r="AB6" s="86">
        <f t="shared" si="3"/>
        <v>0.59888888888888892</v>
      </c>
      <c r="AC6" s="86">
        <f t="shared" si="3"/>
        <v>0.92888888888888888</v>
      </c>
      <c r="AD6" s="86">
        <f t="shared" si="3"/>
        <v>1</v>
      </c>
      <c r="AE6" s="86">
        <f t="shared" si="3"/>
        <v>1</v>
      </c>
      <c r="AF6" s="86">
        <f t="shared" si="3"/>
        <v>1</v>
      </c>
      <c r="AG6" s="86">
        <f t="shared" si="3"/>
        <v>1</v>
      </c>
      <c r="AH6" s="86">
        <f t="shared" ref="AH6:AO6" si="4">IF(AH3&lt;$BK$4,0,-(MIN(1,MAX(0,((AH3-$BK$4+1)*_xlfn.XLOOKUP(Scenario,$AY$7:$AY$9,$BA$7:$BA$9,1,0)/$BK$18)))^2)+2*MIN(1,MAX(0,((AH3-$BK$4+1)*_xlfn.XLOOKUP(Scenario,$AY$7:$AY$9,$BA$7:$BA$9,1,0)/$BK$18))))</f>
        <v>0</v>
      </c>
      <c r="AI6" s="86">
        <f t="shared" si="4"/>
        <v>0</v>
      </c>
      <c r="AJ6" s="86">
        <f t="shared" si="4"/>
        <v>0.47437500000000005</v>
      </c>
      <c r="AK6" s="86">
        <f t="shared" si="4"/>
        <v>0.7975000000000001</v>
      </c>
      <c r="AL6" s="86">
        <f t="shared" si="4"/>
        <v>0.96937499999999999</v>
      </c>
      <c r="AM6" s="86">
        <f t="shared" si="4"/>
        <v>1</v>
      </c>
      <c r="AN6" s="86">
        <f t="shared" si="4"/>
        <v>1</v>
      </c>
      <c r="AO6" s="86">
        <f t="shared" si="4"/>
        <v>1</v>
      </c>
      <c r="AP6" s="86">
        <f t="shared" ref="AP6:AW6" si="5">IF(AP3&lt;$BL$4,0,-(MIN(1,MAX(0,((AP3-$BL$4+1)*_xlfn.XLOOKUP(Scenario,$AY$7:$AY$9,$BA$7:$BA$9,1,0)/$BL$18)))^2)+2*MIN(1,MAX(0,((AP3-$BL$4+1)*_xlfn.XLOOKUP(Scenario,$AY$7:$AY$9,$BA$7:$BA$9,1,0)/$BL$18))))</f>
        <v>0</v>
      </c>
      <c r="AQ6" s="86">
        <f t="shared" si="5"/>
        <v>0</v>
      </c>
      <c r="AR6" s="86">
        <f t="shared" si="5"/>
        <v>0</v>
      </c>
      <c r="AS6" s="86">
        <f t="shared" si="5"/>
        <v>0.7975000000000001</v>
      </c>
      <c r="AT6" s="86">
        <f t="shared" si="5"/>
        <v>1</v>
      </c>
      <c r="AU6" s="86">
        <f t="shared" si="5"/>
        <v>1</v>
      </c>
      <c r="AV6" s="86">
        <f t="shared" si="5"/>
        <v>1</v>
      </c>
      <c r="AW6" s="86">
        <f t="shared" si="5"/>
        <v>1</v>
      </c>
      <c r="AX6"/>
      <c r="AY6" s="96"/>
      <c r="AZ6" s="97" t="s">
        <v>110</v>
      </c>
      <c r="BA6" s="97" t="s">
        <v>68</v>
      </c>
      <c r="BB6" s="97" t="s">
        <v>111</v>
      </c>
      <c r="BC6" s="98" t="s">
        <v>109</v>
      </c>
      <c r="BD6"/>
      <c r="BE6" t="s">
        <v>112</v>
      </c>
      <c r="BF6" s="70" t="s">
        <v>37</v>
      </c>
      <c r="BG6" s="75">
        <v>0.65</v>
      </c>
      <c r="BH6" s="75">
        <v>0.55000000000000004</v>
      </c>
      <c r="BI6" s="75">
        <v>0.7</v>
      </c>
      <c r="BJ6" s="75">
        <v>0.7</v>
      </c>
      <c r="BK6" s="75">
        <v>0.6</v>
      </c>
      <c r="BL6" s="76">
        <v>0.6</v>
      </c>
    </row>
    <row r="7" spans="1:64" x14ac:dyDescent="0.3">
      <c r="A7" s="113" t="s">
        <v>89</v>
      </c>
      <c r="B7" s="69">
        <f>B4*(B6-B1)*_xlfn.XLOOKUP(A1,AY7:AY9,AZ7:AZ9,,0)</f>
        <v>0</v>
      </c>
      <c r="C7" s="69">
        <f>C4*(C6-B6)*_xlfn.XLOOKUP(A1,AY7:AY9,AZ7:AZ9,,0)</f>
        <v>0</v>
      </c>
      <c r="D7" s="69">
        <f>D4*(D6-C6)*_xlfn.XLOOKUP(A1,AY7:AY9,AZ7:AZ9,,0)</f>
        <v>138.20734809220224</v>
      </c>
      <c r="E7" s="69">
        <f>E4*(E6-D6)*_xlfn.XLOOKUP(A1,AY7:AY9,AZ7:AZ9,,0)</f>
        <v>104.53273950664926</v>
      </c>
      <c r="F7" s="69">
        <f>F4*(F6-E6)*_xlfn.XLOOKUP(A1,AY7:AY9,AZ7:AZ9,,0)</f>
        <v>70.538536600072717</v>
      </c>
      <c r="G7" s="69">
        <f>G4*(G6-F6)*_xlfn.XLOOKUP(A1,AY7:AY9,AZ7:AZ9,,0)</f>
        <v>36.222479057958665</v>
      </c>
      <c r="H7" s="69">
        <f>H4*(H6-G6)*_xlfn.XLOOKUP(A1,AY7:AY9,AZ7:AZ9,,0)</f>
        <v>5.1784114211190371</v>
      </c>
      <c r="I7" s="69">
        <f>I4*(I6-H6)*_xlfn.XLOOKUP(A1,AY7:AY9,AZ7:AZ9,,0)</f>
        <v>0</v>
      </c>
      <c r="J7" s="69">
        <f>J4*(J6-J1)*_xlfn.XLOOKUP(A1,AY7:AY9,AZ7:AZ9,,0)</f>
        <v>0</v>
      </c>
      <c r="K7" s="69">
        <f>K4*(K6-J6)*_xlfn.XLOOKUP(A1,AY7:AY9,AZ7:AZ9,,0)</f>
        <v>0</v>
      </c>
      <c r="L7" s="69">
        <f>L4*(L6-K6)*_xlfn.XLOOKUP(A1,AY7:AY9,AZ7:AZ9,,0)</f>
        <v>0</v>
      </c>
      <c r="M7" s="69">
        <f>M4*(M6-L6)*_xlfn.XLOOKUP(A1,AY7:AY9,AZ7:AZ9,,0)</f>
        <v>126.15599975440992</v>
      </c>
      <c r="N7" s="69">
        <f>N4*(N6-M6)*_xlfn.XLOOKUP(A1,AY7:AY9,AZ7:AZ9,,0)</f>
        <v>86.336229692797332</v>
      </c>
      <c r="O7" s="69">
        <f>O4*(O6-N6)*_xlfn.XLOOKUP(A1,AY7:AY9,AZ7:AZ9,,0)</f>
        <v>46.139367006570964</v>
      </c>
      <c r="P7" s="69">
        <f>P4*(P6-O6)*_xlfn.XLOOKUP(A1,AY7:AY9,AZ7:AZ9,,0)</f>
        <v>8.259835925613066</v>
      </c>
      <c r="Q7" s="69">
        <f>Q4*(Q6-P6)*_xlfn.XLOOKUP(A1,AY7:AY9,AZ7:AZ9,,0)</f>
        <v>0</v>
      </c>
      <c r="R7" s="69">
        <f>R4*(R6-R1)*_xlfn.XLOOKUP(A1,AY7:AY9,AZ7:AZ9,,0)</f>
        <v>0</v>
      </c>
      <c r="S7" s="69">
        <f>S4*(S6-R6)*_xlfn.XLOOKUP(A1,AY7:AY9,AZ7:AZ9,,0)</f>
        <v>0</v>
      </c>
      <c r="T7" s="69">
        <f>T4*(T6-S6)*_xlfn.XLOOKUP(A1,AY7:AY9,AZ7:AZ9,,0)</f>
        <v>244.89278261978745</v>
      </c>
      <c r="U7" s="69">
        <f>U4*(U6-T6)*_xlfn.XLOOKUP(A1,AY7:AY9,AZ7:AZ9,,0)</f>
        <v>135.57514336425942</v>
      </c>
      <c r="V7" s="69">
        <f>V4*(V6-U6)*_xlfn.XLOOKUP(A1,AY7:AY9,AZ7:AZ9,,0)</f>
        <v>29.352155482951428</v>
      </c>
      <c r="W7" s="69">
        <f>W4*(W6-V6)*_xlfn.XLOOKUP(A1,AY7:AY9,AZ7:AZ9,,0)</f>
        <v>0</v>
      </c>
      <c r="X7" s="69">
        <f>X4*(X6-W6)*_xlfn.XLOOKUP(A1,AY7:AY9,AZ7:AZ9,,0)</f>
        <v>0</v>
      </c>
      <c r="Y7" s="69">
        <f>Y4*(Y6-X6)*_xlfn.XLOOKUP(A1,AY7:AY9,AZ7:AZ9,,0)</f>
        <v>0</v>
      </c>
      <c r="Z7" s="69">
        <f>Z4*(Z6-Z1)*_xlfn.XLOOKUP(A1,AY7:AY9,AZ7:AZ9,,0)</f>
        <v>0</v>
      </c>
      <c r="AA7" s="69">
        <f>AA4*(AA6-Z6)*_xlfn.XLOOKUP(A1,AY7:AY9,AZ7:AZ9,,0)</f>
        <v>0</v>
      </c>
      <c r="AB7" s="69">
        <f>AB4*(AB6-AA6)*_xlfn.XLOOKUP(A1,AY7:AY9,AZ7:AZ9,,0)</f>
        <v>306.11597827473435</v>
      </c>
      <c r="AC7" s="69">
        <f>AC4*(AC6-AB6)*_xlfn.XLOOKUP(A1,AY7:AY9,AZ7:AZ9,,0)</f>
        <v>169.46892920532429</v>
      </c>
      <c r="AD7" s="69">
        <f>AD4*(AD6-AC6)*_xlfn.XLOOKUP(A1,AY7:AY9,AZ7:AZ9,,0)</f>
        <v>36.690194353689293</v>
      </c>
      <c r="AE7" s="69">
        <f>AE4*(AE6-AD6)*_xlfn.XLOOKUP(A1,AY7:AY9,AZ7:AZ9,,0)</f>
        <v>0</v>
      </c>
      <c r="AF7" s="69">
        <f>AF4*(AF6-AE6)*_xlfn.XLOOKUP(A1,AY7:AY9,AZ7:AZ9,,0)</f>
        <v>0</v>
      </c>
      <c r="AG7" s="69">
        <f>AG4*(AG6-AF6)*_xlfn.XLOOKUP(A1,AY7:AY9,AZ7:AZ9,,0)</f>
        <v>0</v>
      </c>
      <c r="AH7" s="69">
        <f>AH4*(AH6-AH1)*_xlfn.XLOOKUP(A1,AY7:AY9,AZ7:AZ9,,0)</f>
        <v>0</v>
      </c>
      <c r="AI7" s="69">
        <f>AI4*(AI6-AH6)*_xlfn.XLOOKUP(A1,AY7:AY9,AZ7:AZ9,,0)</f>
        <v>0</v>
      </c>
      <c r="AJ7" s="69">
        <f>AJ4*(AJ6-AI6)*_xlfn.XLOOKUP(A1,AY7:AY9,AZ7:AZ9,,0)</f>
        <v>105.12891733120105</v>
      </c>
      <c r="AK7" s="69">
        <f>AK4*(AK6-AJ6)*_xlfn.XLOOKUP(A1,AY7:AY9,AZ7:AZ9,,0)</f>
        <v>71.946117281230613</v>
      </c>
      <c r="AL7" s="69">
        <f>AL4*(AL6-AK6)*_xlfn.XLOOKUP(A1,AY7:AY9,AZ7:AZ9,,0)</f>
        <v>38.449076613006561</v>
      </c>
      <c r="AM7" s="69">
        <f>AM4*(AM6-AL6)*_xlfn.XLOOKUP(A1,AY7:AY9,AZ7:AZ9,,0)</f>
        <v>6.8831257322956336</v>
      </c>
      <c r="AN7" s="69">
        <f>AN4*(AN6-AM6)*_xlfn.XLOOKUP(A1,AY7:AY9,AZ7:AZ9,,0)</f>
        <v>0</v>
      </c>
      <c r="AO7" s="69">
        <f>AO4*(AO6-AN6)*_xlfn.XLOOKUP(A1,AY7:AY9,AZ7:AZ9,,0)</f>
        <v>0</v>
      </c>
      <c r="AP7" s="69">
        <f>AP4*(AP6-AP1)*_xlfn.XLOOKUP(A1,AY7:AY9,AZ7:AZ9,,0)</f>
        <v>0</v>
      </c>
      <c r="AQ7" s="69">
        <f>AQ4*(AQ6-AP6)*_xlfn.XLOOKUP(A1,AY7:AY9,AZ7:AZ9,,0)</f>
        <v>0</v>
      </c>
      <c r="AR7" s="69">
        <f>AR4*(AR6-AQ6)*_xlfn.XLOOKUP(A1,AY7:AY9,AZ7:AZ9,,0)</f>
        <v>0</v>
      </c>
      <c r="AS7" s="69">
        <f>AS4*(AS6-AR6)*_xlfn.XLOOKUP(A1,AY7:AY9,AZ7:AZ9,,0)</f>
        <v>355.13828104777667</v>
      </c>
      <c r="AT7" s="69">
        <f>AT4*(AT6-AS6)*_xlfn.XLOOKUP(A1,AY7:AY9,AZ7:AZ9,,0)</f>
        <v>90.600005982648227</v>
      </c>
      <c r="AU7" s="69">
        <f>AU4*(AU6-AT6)*_xlfn.XLOOKUP(A1,AY7:AY9,AZ7:AZ9,,0)</f>
        <v>0</v>
      </c>
      <c r="AV7" s="69">
        <f>AV4*(AV6-AU6)*_xlfn.XLOOKUP(A1,AY7:AY9,AZ7:AZ9,,0)</f>
        <v>0</v>
      </c>
      <c r="AW7" s="69">
        <f>AW4*(AW6-AV6)*_xlfn.XLOOKUP(A1,AY7:AY9,AZ7:AZ9,,0)</f>
        <v>0</v>
      </c>
      <c r="AY7" s="99" t="s">
        <v>36</v>
      </c>
      <c r="AZ7" s="88">
        <v>0.8</v>
      </c>
      <c r="BA7" s="66">
        <v>0.9</v>
      </c>
      <c r="BB7" s="87">
        <v>0.75</v>
      </c>
      <c r="BC7" s="100">
        <v>2.5000000000000001E-2</v>
      </c>
      <c r="BE7" s="69" t="s">
        <v>112</v>
      </c>
      <c r="BF7" s="70" t="s">
        <v>22</v>
      </c>
      <c r="BG7" s="75">
        <v>0.85</v>
      </c>
      <c r="BH7" s="75">
        <v>0.75</v>
      </c>
      <c r="BI7" s="75">
        <v>0.85</v>
      </c>
      <c r="BJ7" s="75">
        <v>0.85</v>
      </c>
      <c r="BK7" s="75">
        <v>0.75</v>
      </c>
      <c r="BL7" s="76">
        <v>0.8</v>
      </c>
    </row>
    <row r="8" spans="1:64" x14ac:dyDescent="0.3">
      <c r="A8" s="113" t="s">
        <v>91</v>
      </c>
      <c r="B8" s="69">
        <f>B1*_xlfn.XLOOKUP(A1,AY7:AY9,BB7:BB9,,0)</f>
        <v>0</v>
      </c>
      <c r="C8" s="69">
        <f>(B7*_xlfn.XLOOKUP(A1,AY7:AY9,BB7:BB9,,0))+B8</f>
        <v>0</v>
      </c>
      <c r="D8" s="69">
        <f>(C7*_xlfn.XLOOKUP(A1,AY7:AY9,BB7:BB9,,0))+C8</f>
        <v>0</v>
      </c>
      <c r="E8" s="69">
        <f>(D7*_xlfn.XLOOKUP(A1,AY7:AY9,BB7:BB9,,0))+D8</f>
        <v>131.29698068759211</v>
      </c>
      <c r="F8" s="69">
        <f>(E7*_xlfn.XLOOKUP(A1,AY7:AY9,BB7:BB9,,0))+E8</f>
        <v>230.60308321890892</v>
      </c>
      <c r="G8" s="69">
        <f>(F7*_xlfn.XLOOKUP(A1,AY7:AY9,BB7:BB9,,0))+F8</f>
        <v>297.61469298897799</v>
      </c>
      <c r="H8" s="69">
        <f>(G7*_xlfn.XLOOKUP(A1,AY7:AY9,BB7:BB9,,0))+G8</f>
        <v>332.02604809403874</v>
      </c>
      <c r="I8" s="69">
        <f>(H7*_xlfn.XLOOKUP(A1,AY7:AY9,BB7:BB9,,0))+H8</f>
        <v>336.94553894410183</v>
      </c>
      <c r="J8" s="69">
        <f>J1*_xlfn.XLOOKUP(A1,AY7:AY9,BB7:BB9,,0)</f>
        <v>0</v>
      </c>
      <c r="K8" s="69">
        <f>(J7*_xlfn.XLOOKUP(A1,AY7:AY9,BB7:BB9,,0))+J8</f>
        <v>0</v>
      </c>
      <c r="L8" s="69">
        <f>(K7*_xlfn.XLOOKUP(A1,AY7:AY9,BB7:BB9,,0))+K8</f>
        <v>0</v>
      </c>
      <c r="M8" s="69">
        <f>(L7*_xlfn.XLOOKUP(A1,AY7:AY9,BB7:BB9,,0))+L8</f>
        <v>0</v>
      </c>
      <c r="N8" s="69">
        <f>(M7*_xlfn.XLOOKUP(A1,AY7:AY9,BB7:BB9,,0))+M8</f>
        <v>119.84819976668942</v>
      </c>
      <c r="O8" s="69">
        <f>(N7*_xlfn.XLOOKUP(A1,AY7:AY9,BB7:BB9,,0))+N8</f>
        <v>201.86761797484689</v>
      </c>
      <c r="P8" s="69">
        <f>(O7*_xlfn.XLOOKUP(A1,AY7:AY9,BB7:BB9,,0))+O8</f>
        <v>245.70001663108931</v>
      </c>
      <c r="Q8" s="69">
        <f>(P7*_xlfn.XLOOKUP(A1,AY7:AY9,BB7:BB9,,0))+P8</f>
        <v>253.54686076042174</v>
      </c>
      <c r="R8" s="69">
        <f>R1*_xlfn.XLOOKUP(A1,AY7:AY9,BB7:BB9,,0)</f>
        <v>0</v>
      </c>
      <c r="S8" s="69">
        <f>(R7*_xlfn.XLOOKUP(A1,AY7:AY9,BB7:BB9,,0))+R8</f>
        <v>0</v>
      </c>
      <c r="T8" s="69">
        <f>(S7*_xlfn.XLOOKUP(A1,AY7:AY9,BB7:BB9,,0))+S8</f>
        <v>0</v>
      </c>
      <c r="U8" s="69">
        <f>(T7*_xlfn.XLOOKUP(A1,AY7:AY9,BB7:BB9,,0))+T8</f>
        <v>232.64814348879807</v>
      </c>
      <c r="V8" s="69">
        <f>(U7*_xlfn.XLOOKUP(A1,AY7:AY9,BB7:BB9,,0))+U8</f>
        <v>361.4445296848445</v>
      </c>
      <c r="W8" s="69">
        <f>(V7*_xlfn.XLOOKUP(A1,AY7:AY9,BB7:BB9,,0))+V8</f>
        <v>389.32907739364833</v>
      </c>
      <c r="X8" s="69">
        <f>(W7*_xlfn.XLOOKUP(A1,AY7:AY9,BB7:BB9,,0))+W8</f>
        <v>389.32907739364833</v>
      </c>
      <c r="Y8" s="69">
        <f>(X7*_xlfn.XLOOKUP(A1,AY7:AY9,BB7:BB9,,0))+X8</f>
        <v>389.32907739364833</v>
      </c>
      <c r="Z8" s="69">
        <f>Z1*_xlfn.XLOOKUP(A1,AY7:AY9,BB7:BB9,,0)</f>
        <v>0</v>
      </c>
      <c r="AA8" s="69">
        <f>(Z7*_xlfn.XLOOKUP(A1,AY7:AY9,BB7:BB9,,0))+Z8</f>
        <v>0</v>
      </c>
      <c r="AB8" s="69">
        <f>(AA7*_xlfn.XLOOKUP(A1,AY7:AY9,BB7:BB9,,0))+AA8</f>
        <v>0</v>
      </c>
      <c r="AC8" s="69">
        <f>(AB7*_xlfn.XLOOKUP(A1,AY7:AY9,BB7:BB9,,0))+AB8</f>
        <v>290.81017936099761</v>
      </c>
      <c r="AD8" s="69">
        <f>(AC7*_xlfn.XLOOKUP(A1,AY7:AY9,BB7:BB9,,0))+AC8</f>
        <v>451.80566210605571</v>
      </c>
      <c r="AE8" s="69">
        <f>(AD7*_xlfn.XLOOKUP(A1,AY7:AY9,BB7:BB9,,0))+AD8</f>
        <v>486.66134674206052</v>
      </c>
      <c r="AF8" s="69">
        <f>(AE7*_xlfn.XLOOKUP(A1,AY7:AY9,BB7:BB9,,0))+AE8</f>
        <v>486.66134674206052</v>
      </c>
      <c r="AG8" s="69">
        <f>(AF7*_xlfn.XLOOKUP(A1,AY7:AY9,BB7:BB9,,0))+AF8</f>
        <v>486.66134674206052</v>
      </c>
      <c r="AH8" s="69">
        <f>AH1*_xlfn.XLOOKUP(A1,AY7:AY9,BB7:BB9,,0)</f>
        <v>0</v>
      </c>
      <c r="AI8" s="69">
        <f>(AH7*_xlfn.XLOOKUP(A1,AY7:AY9,BB7:BB9,,0))+AH8</f>
        <v>0</v>
      </c>
      <c r="AJ8" s="69">
        <f>(AI7*_xlfn.XLOOKUP(A1,AY7:AY9,BB7:BB9,,0))+AI8</f>
        <v>0</v>
      </c>
      <c r="AK8" s="69">
        <f>(AJ7*_xlfn.XLOOKUP(A1,AY7:AY9,BB7:BB9,,0))+AJ8</f>
        <v>99.872471464640995</v>
      </c>
      <c r="AL8" s="69">
        <f>(AK7*_xlfn.XLOOKUP(A1,AY7:AY9,BB7:BB9,,0))+AK8</f>
        <v>168.22128288181005</v>
      </c>
      <c r="AM8" s="69">
        <f>(AL7*_xlfn.XLOOKUP(A1,AY7:AY9,BB7:BB9,,0))+AL8</f>
        <v>204.7479056641663</v>
      </c>
      <c r="AN8" s="69">
        <f>(AM7*_xlfn.XLOOKUP(A1,AY7:AY9,BB7:BB9,,0))+AM8</f>
        <v>211.28687510984716</v>
      </c>
      <c r="AO8" s="69">
        <f>(AN7*_xlfn.XLOOKUP(A1,AY7:AY9,BB7:BB9,,0))+AN8</f>
        <v>211.28687510984716</v>
      </c>
      <c r="AP8" s="69">
        <f>AP1*_xlfn.XLOOKUP(A1,AY7:AY9,BB7:BB9,,0)</f>
        <v>0</v>
      </c>
      <c r="AQ8" s="69">
        <f>(AP7*_xlfn.XLOOKUP(A1,AY7:AY9,BB7:BB9,,0))+AP8</f>
        <v>0</v>
      </c>
      <c r="AR8" s="69">
        <f>(AQ7*_xlfn.XLOOKUP(A1,AY7:AY9,BB7:BB9,,0))+AQ8</f>
        <v>0</v>
      </c>
      <c r="AS8" s="69">
        <f>(AR7*_xlfn.XLOOKUP(A1,AY7:AY9,BB7:BB9,,0))+AR8</f>
        <v>0</v>
      </c>
      <c r="AT8" s="69">
        <f>(AS7*_xlfn.XLOOKUP(A1,AY7:AY9,BB7:BB9,,0))+AS8</f>
        <v>337.38136699538785</v>
      </c>
      <c r="AU8" s="69">
        <f>(AT7*_xlfn.XLOOKUP(A1,AY7:AY9,BB7:BB9,,0))+AT8</f>
        <v>423.45137267890368</v>
      </c>
      <c r="AV8" s="69">
        <f>(AU7*_xlfn.XLOOKUP(A1,AY7:AY9,BB7:BB9,,0))+AU8</f>
        <v>423.45137267890368</v>
      </c>
      <c r="AW8" s="69">
        <f>(AV7*_xlfn.XLOOKUP(A1,AY7:AY9,BB7:BB9,,0))+AV8</f>
        <v>423.45137267890368</v>
      </c>
      <c r="AX8" s="69"/>
      <c r="AY8" s="99" t="s">
        <v>37</v>
      </c>
      <c r="AZ8" s="88">
        <v>1</v>
      </c>
      <c r="BA8" s="66">
        <v>1</v>
      </c>
      <c r="BB8" s="87">
        <v>0.85</v>
      </c>
      <c r="BC8" s="101">
        <v>0.02</v>
      </c>
      <c r="BF8" s="71" t="s">
        <v>77</v>
      </c>
      <c r="BG8" s="75">
        <v>0.02</v>
      </c>
      <c r="BH8" s="75">
        <v>0.03</v>
      </c>
      <c r="BI8" s="75">
        <v>0.02</v>
      </c>
      <c r="BJ8" s="75">
        <v>0.02</v>
      </c>
      <c r="BK8" s="75">
        <v>0.01</v>
      </c>
      <c r="BL8" s="76">
        <v>0.01</v>
      </c>
    </row>
    <row r="9" spans="1:64" x14ac:dyDescent="0.3">
      <c r="A9" s="116" t="s">
        <v>92</v>
      </c>
      <c r="B9" s="74">
        <f>SUM(B6:B8)</f>
        <v>0</v>
      </c>
      <c r="C9" s="74">
        <f t="shared" ref="C9:AW9" si="6">SUM(C6:C8)</f>
        <v>0</v>
      </c>
      <c r="D9" s="74">
        <f t="shared" si="6"/>
        <v>138.59894809220225</v>
      </c>
      <c r="E9" s="74">
        <f t="shared" si="6"/>
        <v>236.51612019424138</v>
      </c>
      <c r="F9" s="74">
        <f t="shared" si="6"/>
        <v>302.02601981898164</v>
      </c>
      <c r="G9" s="74">
        <f t="shared" si="6"/>
        <v>334.82277204693668</v>
      </c>
      <c r="H9" s="74">
        <f t="shared" si="6"/>
        <v>338.20445951515779</v>
      </c>
      <c r="I9" s="74">
        <f t="shared" si="6"/>
        <v>337.94553894410183</v>
      </c>
      <c r="J9" s="74">
        <f t="shared" si="6"/>
        <v>0</v>
      </c>
      <c r="K9" s="74">
        <f t="shared" si="6"/>
        <v>0</v>
      </c>
      <c r="L9" s="74">
        <f t="shared" si="6"/>
        <v>0</v>
      </c>
      <c r="M9" s="74">
        <f t="shared" si="6"/>
        <v>126.63037475440991</v>
      </c>
      <c r="N9" s="74">
        <f t="shared" si="6"/>
        <v>206.98192945948676</v>
      </c>
      <c r="O9" s="74">
        <f t="shared" si="6"/>
        <v>248.97635998141786</v>
      </c>
      <c r="P9" s="74">
        <f t="shared" si="6"/>
        <v>254.95985255670237</v>
      </c>
      <c r="Q9" s="74">
        <f t="shared" si="6"/>
        <v>254.54686076042174</v>
      </c>
      <c r="R9" s="74">
        <f t="shared" si="6"/>
        <v>0</v>
      </c>
      <c r="S9" s="74">
        <f t="shared" si="6"/>
        <v>0</v>
      </c>
      <c r="T9" s="74">
        <f t="shared" si="6"/>
        <v>245.49167150867635</v>
      </c>
      <c r="U9" s="74">
        <f t="shared" si="6"/>
        <v>369.15217574194639</v>
      </c>
      <c r="V9" s="74">
        <f t="shared" si="6"/>
        <v>391.79668516779594</v>
      </c>
      <c r="W9" s="74">
        <f t="shared" si="6"/>
        <v>390.32907739364833</v>
      </c>
      <c r="X9" s="74">
        <f t="shared" si="6"/>
        <v>390.32907739364833</v>
      </c>
      <c r="Y9" s="74">
        <f t="shared" si="6"/>
        <v>390.32907739364833</v>
      </c>
      <c r="Z9" s="74">
        <f t="shared" si="6"/>
        <v>0</v>
      </c>
      <c r="AA9" s="74">
        <f t="shared" si="6"/>
        <v>0</v>
      </c>
      <c r="AB9" s="74">
        <f t="shared" si="6"/>
        <v>306.71486716362324</v>
      </c>
      <c r="AC9" s="74">
        <f t="shared" si="6"/>
        <v>461.20799745521077</v>
      </c>
      <c r="AD9" s="74">
        <f t="shared" si="6"/>
        <v>489.49585645974503</v>
      </c>
      <c r="AE9" s="74">
        <f t="shared" si="6"/>
        <v>487.66134674206052</v>
      </c>
      <c r="AF9" s="74">
        <f t="shared" si="6"/>
        <v>487.66134674206052</v>
      </c>
      <c r="AG9" s="74">
        <f t="shared" si="6"/>
        <v>487.66134674206052</v>
      </c>
      <c r="AH9" s="74">
        <f t="shared" si="6"/>
        <v>0</v>
      </c>
      <c r="AI9" s="74">
        <f t="shared" si="6"/>
        <v>0</v>
      </c>
      <c r="AJ9" s="74">
        <f t="shared" si="6"/>
        <v>105.60329233120105</v>
      </c>
      <c r="AK9" s="74">
        <f t="shared" si="6"/>
        <v>172.61608874587159</v>
      </c>
      <c r="AL9" s="74">
        <f t="shared" si="6"/>
        <v>207.63973449481662</v>
      </c>
      <c r="AM9" s="74">
        <f t="shared" si="6"/>
        <v>212.63103139646194</v>
      </c>
      <c r="AN9" s="74">
        <f t="shared" si="6"/>
        <v>212.28687510984716</v>
      </c>
      <c r="AO9" s="74">
        <f t="shared" si="6"/>
        <v>212.28687510984716</v>
      </c>
      <c r="AP9" s="74">
        <f t="shared" si="6"/>
        <v>0</v>
      </c>
      <c r="AQ9" s="74">
        <f t="shared" si="6"/>
        <v>0</v>
      </c>
      <c r="AR9" s="74">
        <f t="shared" si="6"/>
        <v>0</v>
      </c>
      <c r="AS9" s="74">
        <f t="shared" si="6"/>
        <v>355.93578104777669</v>
      </c>
      <c r="AT9" s="74">
        <f t="shared" si="6"/>
        <v>428.98137297803606</v>
      </c>
      <c r="AU9" s="74">
        <f t="shared" si="6"/>
        <v>424.45137267890368</v>
      </c>
      <c r="AV9" s="74">
        <f t="shared" si="6"/>
        <v>424.45137267890368</v>
      </c>
      <c r="AW9" s="74">
        <f t="shared" si="6"/>
        <v>424.45137267890368</v>
      </c>
      <c r="AY9" s="102" t="s">
        <v>22</v>
      </c>
      <c r="AZ9" s="95">
        <v>1.2</v>
      </c>
      <c r="BA9" s="67">
        <v>1.1000000000000001</v>
      </c>
      <c r="BB9" s="103">
        <v>0.95</v>
      </c>
      <c r="BC9" s="104">
        <v>1.4999999999999999E-2</v>
      </c>
      <c r="BF9" s="70" t="s">
        <v>78</v>
      </c>
      <c r="BG9" s="75">
        <v>0.24</v>
      </c>
      <c r="BH9" s="75">
        <v>0.26</v>
      </c>
      <c r="BI9" s="75">
        <v>0.2</v>
      </c>
      <c r="BJ9" s="75">
        <v>0.16</v>
      </c>
      <c r="BK9" s="75">
        <v>0.24</v>
      </c>
      <c r="BL9" s="76">
        <v>0.23</v>
      </c>
    </row>
    <row r="10" spans="1:64" x14ac:dyDescent="0.3">
      <c r="A10" s="113" t="s">
        <v>104</v>
      </c>
      <c r="B10" s="1">
        <f t="shared" ref="B10:I10" si="7">-IF($BG$4-B3=1,$BG$15*$I$9,IF(B3&lt;$BG$4,$BG$14*$I$9,0))</f>
        <v>-13.517821557764073</v>
      </c>
      <c r="C10" s="1">
        <f t="shared" si="7"/>
        <v>-6.7589107788820364</v>
      </c>
      <c r="D10" s="1">
        <f t="shared" si="7"/>
        <v>0</v>
      </c>
      <c r="E10" s="1">
        <f t="shared" si="7"/>
        <v>0</v>
      </c>
      <c r="F10" s="1">
        <f t="shared" si="7"/>
        <v>0</v>
      </c>
      <c r="G10" s="1">
        <f t="shared" si="7"/>
        <v>0</v>
      </c>
      <c r="H10" s="1">
        <f t="shared" si="7"/>
        <v>0</v>
      </c>
      <c r="I10" s="1">
        <f t="shared" si="7"/>
        <v>0</v>
      </c>
      <c r="J10" s="1">
        <f t="shared" ref="J10:Q10" si="8">-IF($BH$4-J3=1,$BH$15*$Q$9,IF(J3&lt;$BH$4,$BH$14*$Q$9,0))</f>
        <v>-7.6364058228126517</v>
      </c>
      <c r="K10" s="1">
        <f t="shared" si="8"/>
        <v>-7.6364058228126517</v>
      </c>
      <c r="L10" s="1">
        <f t="shared" si="8"/>
        <v>-3.8182029114063258</v>
      </c>
      <c r="M10" s="1">
        <f t="shared" si="8"/>
        <v>0</v>
      </c>
      <c r="N10" s="1">
        <f t="shared" si="8"/>
        <v>0</v>
      </c>
      <c r="O10" s="1">
        <f t="shared" si="8"/>
        <v>0</v>
      </c>
      <c r="P10" s="1">
        <f t="shared" si="8"/>
        <v>0</v>
      </c>
      <c r="Q10" s="1">
        <f t="shared" si="8"/>
        <v>0</v>
      </c>
      <c r="R10" s="1">
        <f t="shared" ref="R10:Y10" si="9">-IF($BI$4-R3=1,$BI$15*$Y$9,IF(R3&lt;$BI$4,$BI$14*$Y$9,0))</f>
        <v>-7.806581547872967</v>
      </c>
      <c r="S10" s="1">
        <f t="shared" si="9"/>
        <v>-3.9032907739364835</v>
      </c>
      <c r="T10" s="1">
        <f t="shared" si="9"/>
        <v>0</v>
      </c>
      <c r="U10" s="1">
        <f t="shared" si="9"/>
        <v>0</v>
      </c>
      <c r="V10" s="1">
        <f t="shared" si="9"/>
        <v>0</v>
      </c>
      <c r="W10" s="1">
        <f t="shared" si="9"/>
        <v>0</v>
      </c>
      <c r="X10" s="1">
        <f t="shared" si="9"/>
        <v>0</v>
      </c>
      <c r="Y10" s="1">
        <f t="shared" si="9"/>
        <v>0</v>
      </c>
      <c r="Z10" s="1">
        <f t="shared" ref="Z10:AG10" si="10">-IF($BJ$4-Z3=1,$BJ$15*$AG$9,IF(Z3&lt;$BJ$4,$BJ$14*$AG$9,0))</f>
        <v>-17.068147135972119</v>
      </c>
      <c r="AA10" s="1">
        <f t="shared" si="10"/>
        <v>-7.3149202011309074</v>
      </c>
      <c r="AB10" s="1">
        <f t="shared" si="10"/>
        <v>0</v>
      </c>
      <c r="AC10" s="1">
        <f t="shared" si="10"/>
        <v>0</v>
      </c>
      <c r="AD10" s="1">
        <f t="shared" si="10"/>
        <v>0</v>
      </c>
      <c r="AE10" s="1">
        <f t="shared" si="10"/>
        <v>0</v>
      </c>
      <c r="AF10" s="1">
        <f t="shared" si="10"/>
        <v>0</v>
      </c>
      <c r="AG10" s="1">
        <f t="shared" si="10"/>
        <v>0</v>
      </c>
      <c r="AH10" s="1">
        <f t="shared" ref="AH10:AO10" si="11">-IF($BK$4-AH3=1,$BK$15*$AO$9,IF(AH3&lt;$BK$4,$BK$14*$AO$9,0))</f>
        <v>-3.1843031266477073</v>
      </c>
      <c r="AI10" s="1">
        <f t="shared" si="11"/>
        <v>-1.0614343755492359</v>
      </c>
      <c r="AJ10" s="1">
        <f t="shared" si="11"/>
        <v>0</v>
      </c>
      <c r="AK10" s="1">
        <f t="shared" si="11"/>
        <v>0</v>
      </c>
      <c r="AL10" s="1">
        <f t="shared" si="11"/>
        <v>0</v>
      </c>
      <c r="AM10" s="1">
        <f t="shared" si="11"/>
        <v>0</v>
      </c>
      <c r="AN10" s="1">
        <f t="shared" si="11"/>
        <v>0</v>
      </c>
      <c r="AO10" s="1">
        <f t="shared" si="11"/>
        <v>0</v>
      </c>
      <c r="AP10" s="1">
        <f t="shared" ref="AP10:AW10" si="12">-IF($BL$4-AP3=1,$BL$15*$AW$9,IF(AP3&lt;$BL$4,$BL$14*$AW$9,0))</f>
        <v>-10.611284316972593</v>
      </c>
      <c r="AQ10" s="1">
        <f t="shared" si="12"/>
        <v>-10.611284316972593</v>
      </c>
      <c r="AR10" s="1">
        <f t="shared" si="12"/>
        <v>-4.2445137267890365</v>
      </c>
      <c r="AS10" s="1">
        <f t="shared" si="12"/>
        <v>0</v>
      </c>
      <c r="AT10" s="1">
        <f t="shared" si="12"/>
        <v>0</v>
      </c>
      <c r="AU10" s="1">
        <f t="shared" si="12"/>
        <v>0</v>
      </c>
      <c r="AV10" s="1">
        <f t="shared" si="12"/>
        <v>0</v>
      </c>
      <c r="AW10" s="1">
        <f t="shared" si="12"/>
        <v>0</v>
      </c>
      <c r="BF10" s="70" t="s">
        <v>83</v>
      </c>
      <c r="BG10" s="75">
        <v>0.2</v>
      </c>
      <c r="BH10" s="75">
        <v>0.25</v>
      </c>
      <c r="BI10" s="75">
        <v>0.3</v>
      </c>
      <c r="BJ10" s="75">
        <v>0.3</v>
      </c>
      <c r="BK10" s="75">
        <v>0.35</v>
      </c>
      <c r="BL10" s="76">
        <v>0.15</v>
      </c>
    </row>
    <row r="11" spans="1:64" x14ac:dyDescent="0.3">
      <c r="A11" s="117" t="s">
        <v>96</v>
      </c>
      <c r="B11" s="1">
        <f>-IF(B3&gt;$BG$4-1,(1-$BG$9)*$I$9*$BG$10,0)</f>
        <v>0</v>
      </c>
      <c r="C11" s="1">
        <f t="shared" ref="C11:I11" si="13">-IF(C3&gt;$BG$4+1,(1-$BG$9)*$I$9*$BG$10,0)</f>
        <v>0</v>
      </c>
      <c r="D11" s="1">
        <f t="shared" si="13"/>
        <v>0</v>
      </c>
      <c r="E11" s="1">
        <f t="shared" si="13"/>
        <v>0</v>
      </c>
      <c r="F11" s="1">
        <f t="shared" si="13"/>
        <v>-51.367721919503481</v>
      </c>
      <c r="G11" s="1">
        <f t="shared" si="13"/>
        <v>-51.367721919503481</v>
      </c>
      <c r="H11" s="1">
        <f t="shared" si="13"/>
        <v>-51.367721919503481</v>
      </c>
      <c r="I11" s="1">
        <f t="shared" si="13"/>
        <v>-51.367721919503481</v>
      </c>
      <c r="J11" s="1">
        <f t="shared" ref="J11:Q11" si="14">-IF(J3&gt;$BH$4-1,(1-$BH$9)*$Q$9*$BH$10)</f>
        <v>0</v>
      </c>
      <c r="K11" s="1">
        <f t="shared" si="14"/>
        <v>0</v>
      </c>
      <c r="L11" s="1">
        <f t="shared" si="14"/>
        <v>0</v>
      </c>
      <c r="M11" s="1">
        <f t="shared" si="14"/>
        <v>-47.09116924067802</v>
      </c>
      <c r="N11" s="1">
        <f t="shared" si="14"/>
        <v>-47.09116924067802</v>
      </c>
      <c r="O11" s="1">
        <f t="shared" si="14"/>
        <v>-47.09116924067802</v>
      </c>
      <c r="P11" s="1">
        <f t="shared" si="14"/>
        <v>-47.09116924067802</v>
      </c>
      <c r="Q11" s="1">
        <f t="shared" si="14"/>
        <v>-47.09116924067802</v>
      </c>
      <c r="R11" s="1">
        <f t="shared" ref="R11:Y11" si="15">-IF(R3&gt;$BI$4-1,(1-$BI$9)*$Y$9*$BI$10,)</f>
        <v>0</v>
      </c>
      <c r="S11" s="1">
        <f t="shared" si="15"/>
        <v>0</v>
      </c>
      <c r="T11" s="1">
        <f t="shared" si="15"/>
        <v>-93.678978574475607</v>
      </c>
      <c r="U11" s="1">
        <f t="shared" si="15"/>
        <v>-93.678978574475607</v>
      </c>
      <c r="V11" s="1">
        <f t="shared" si="15"/>
        <v>-93.678978574475607</v>
      </c>
      <c r="W11" s="1">
        <f t="shared" si="15"/>
        <v>-93.678978574475607</v>
      </c>
      <c r="X11" s="1">
        <f t="shared" si="15"/>
        <v>-93.678978574475607</v>
      </c>
      <c r="Y11" s="1">
        <f t="shared" si="15"/>
        <v>-93.678978574475607</v>
      </c>
      <c r="Z11" s="1">
        <f t="shared" ref="Z11:AG11" si="16">-IF(Z3&gt;$BJ$4-1,(1-$BJ$9)*$AG$9*$BJ$10)</f>
        <v>0</v>
      </c>
      <c r="AA11" s="1">
        <f t="shared" si="16"/>
        <v>0</v>
      </c>
      <c r="AB11" s="1">
        <f t="shared" si="16"/>
        <v>-122.89065937899923</v>
      </c>
      <c r="AC11" s="1">
        <f t="shared" si="16"/>
        <v>-122.89065937899923</v>
      </c>
      <c r="AD11" s="1">
        <f t="shared" si="16"/>
        <v>-122.89065937899923</v>
      </c>
      <c r="AE11" s="1">
        <f t="shared" si="16"/>
        <v>-122.89065937899923</v>
      </c>
      <c r="AF11" s="1">
        <f t="shared" si="16"/>
        <v>-122.89065937899923</v>
      </c>
      <c r="AG11" s="1">
        <f t="shared" si="16"/>
        <v>-122.89065937899923</v>
      </c>
      <c r="AH11" s="1">
        <f t="shared" ref="AH11:AO11" si="17">-IF(AH3&gt;$BK$4-1,(1-$BK$9)*$AO$9*$BK$10)</f>
        <v>0</v>
      </c>
      <c r="AI11" s="1">
        <f t="shared" si="17"/>
        <v>0</v>
      </c>
      <c r="AJ11" s="1">
        <f t="shared" si="17"/>
        <v>-56.468308779219342</v>
      </c>
      <c r="AK11" s="1">
        <f t="shared" si="17"/>
        <v>-56.468308779219342</v>
      </c>
      <c r="AL11" s="1">
        <f t="shared" si="17"/>
        <v>-56.468308779219342</v>
      </c>
      <c r="AM11" s="1">
        <f t="shared" si="17"/>
        <v>-56.468308779219342</v>
      </c>
      <c r="AN11" s="1">
        <f t="shared" si="17"/>
        <v>-56.468308779219342</v>
      </c>
      <c r="AO11" s="1">
        <f t="shared" si="17"/>
        <v>-56.468308779219342</v>
      </c>
      <c r="AP11" s="1">
        <f t="shared" ref="AP11:AW11" si="18">-IF(AP3&gt;$BL$4-1,(1-$BL$9)*$AW$9*$BL$10)</f>
        <v>0</v>
      </c>
      <c r="AQ11" s="1">
        <f t="shared" si="18"/>
        <v>0</v>
      </c>
      <c r="AR11" s="1">
        <f t="shared" si="18"/>
        <v>0</v>
      </c>
      <c r="AS11" s="1">
        <f t="shared" si="18"/>
        <v>-49.024133544413381</v>
      </c>
      <c r="AT11" s="1">
        <f t="shared" si="18"/>
        <v>-49.024133544413381</v>
      </c>
      <c r="AU11" s="1">
        <f t="shared" si="18"/>
        <v>-49.024133544413381</v>
      </c>
      <c r="AV11" s="1">
        <f t="shared" si="18"/>
        <v>-49.024133544413381</v>
      </c>
      <c r="AW11" s="1">
        <f t="shared" si="18"/>
        <v>-49.024133544413381</v>
      </c>
      <c r="AX11" s="1"/>
      <c r="AY11" s="94" t="s">
        <v>90</v>
      </c>
      <c r="AZ11" s="94">
        <v>0.02</v>
      </c>
      <c r="BF11" s="70" t="s">
        <v>84</v>
      </c>
      <c r="BG11" s="75">
        <v>0.8</v>
      </c>
      <c r="BH11" s="75">
        <v>0.75</v>
      </c>
      <c r="BI11" s="75">
        <v>0.7</v>
      </c>
      <c r="BJ11" s="75">
        <v>0.7</v>
      </c>
      <c r="BK11" s="75">
        <v>0.65</v>
      </c>
      <c r="BL11" s="76">
        <v>0.85</v>
      </c>
    </row>
    <row r="12" spans="1:64" x14ac:dyDescent="0.3">
      <c r="A12" s="113" t="s">
        <v>97</v>
      </c>
      <c r="B12" s="1">
        <f t="shared" ref="B12:I12" si="19">-B9*(1-$BG$9)*$BG$11</f>
        <v>0</v>
      </c>
      <c r="C12" s="1">
        <f t="shared" si="19"/>
        <v>0</v>
      </c>
      <c r="D12" s="1">
        <f t="shared" si="19"/>
        <v>-84.268160440058978</v>
      </c>
      <c r="E12" s="1">
        <f t="shared" si="19"/>
        <v>-143.80180107809878</v>
      </c>
      <c r="F12" s="1">
        <f t="shared" si="19"/>
        <v>-183.63182004994087</v>
      </c>
      <c r="G12" s="1">
        <f t="shared" si="19"/>
        <v>-203.57224540453751</v>
      </c>
      <c r="H12" s="1">
        <f t="shared" si="19"/>
        <v>-205.62831138521594</v>
      </c>
      <c r="I12" s="1">
        <f t="shared" si="19"/>
        <v>-205.47088767801392</v>
      </c>
      <c r="J12" s="1">
        <f t="shared" ref="J12:Q12" si="20">-J9*(1-$BH$9)*$BH$11</f>
        <v>0</v>
      </c>
      <c r="K12" s="1">
        <f t="shared" si="20"/>
        <v>0</v>
      </c>
      <c r="L12" s="1">
        <f t="shared" si="20"/>
        <v>0</v>
      </c>
      <c r="M12" s="1">
        <f t="shared" si="20"/>
        <v>-70.279857988697501</v>
      </c>
      <c r="N12" s="1">
        <f t="shared" si="20"/>
        <v>-114.87497085001515</v>
      </c>
      <c r="O12" s="1">
        <f t="shared" si="20"/>
        <v>-138.18187978968689</v>
      </c>
      <c r="P12" s="1">
        <f t="shared" si="20"/>
        <v>-141.50271816896981</v>
      </c>
      <c r="Q12" s="1">
        <f t="shared" si="20"/>
        <v>-141.27350772203405</v>
      </c>
      <c r="R12" s="1">
        <f t="shared" ref="R12:Y12" si="21">-R9*(1-$BI$9)*$BI$11</f>
        <v>0</v>
      </c>
      <c r="S12" s="1">
        <f t="shared" si="21"/>
        <v>0</v>
      </c>
      <c r="T12" s="1">
        <f t="shared" si="21"/>
        <v>-137.47533604485875</v>
      </c>
      <c r="U12" s="1">
        <f t="shared" si="21"/>
        <v>-206.72521841548999</v>
      </c>
      <c r="V12" s="1">
        <f t="shared" si="21"/>
        <v>-219.40614369396576</v>
      </c>
      <c r="W12" s="1">
        <f t="shared" si="21"/>
        <v>-218.58428334044308</v>
      </c>
      <c r="X12" s="1">
        <f t="shared" si="21"/>
        <v>-218.58428334044308</v>
      </c>
      <c r="Y12" s="1">
        <f t="shared" si="21"/>
        <v>-218.58428334044308</v>
      </c>
      <c r="Z12" s="1">
        <f t="shared" ref="Z12:AG12" si="22">-Z9*(1-$BJ$9)*$BJ$11</f>
        <v>0</v>
      </c>
      <c r="AA12" s="1">
        <f t="shared" si="22"/>
        <v>0</v>
      </c>
      <c r="AB12" s="1">
        <f t="shared" si="22"/>
        <v>-180.34834189221044</v>
      </c>
      <c r="AC12" s="1">
        <f t="shared" si="22"/>
        <v>-271.19030250366387</v>
      </c>
      <c r="AD12" s="1">
        <f t="shared" si="22"/>
        <v>-287.82356359833005</v>
      </c>
      <c r="AE12" s="1">
        <f t="shared" si="22"/>
        <v>-286.74487188433153</v>
      </c>
      <c r="AF12" s="1">
        <f t="shared" si="22"/>
        <v>-286.74487188433153</v>
      </c>
      <c r="AG12" s="1">
        <f t="shared" si="22"/>
        <v>-286.74487188433153</v>
      </c>
      <c r="AH12" s="1">
        <f t="shared" ref="AH12:AO12" si="23">-AH9*(1-$BK$9)*$BK$11</f>
        <v>0</v>
      </c>
      <c r="AI12" s="1">
        <f t="shared" si="23"/>
        <v>0</v>
      </c>
      <c r="AJ12" s="1">
        <f t="shared" si="23"/>
        <v>-52.168026411613319</v>
      </c>
      <c r="AK12" s="1">
        <f t="shared" si="23"/>
        <v>-85.272347840460569</v>
      </c>
      <c r="AL12" s="1">
        <f t="shared" si="23"/>
        <v>-102.57402884043941</v>
      </c>
      <c r="AM12" s="1">
        <f t="shared" si="23"/>
        <v>-105.03972950985219</v>
      </c>
      <c r="AN12" s="1">
        <f t="shared" si="23"/>
        <v>-104.8697163042645</v>
      </c>
      <c r="AO12" s="1">
        <f t="shared" si="23"/>
        <v>-104.8697163042645</v>
      </c>
      <c r="AP12" s="1">
        <f t="shared" ref="AP12:AW12" si="24">-AP9*(1-$BL$9)*$BL$11</f>
        <v>0</v>
      </c>
      <c r="AQ12" s="1">
        <f t="shared" si="24"/>
        <v>0</v>
      </c>
      <c r="AR12" s="1">
        <f t="shared" si="24"/>
        <v>0</v>
      </c>
      <c r="AS12" s="1">
        <f t="shared" si="24"/>
        <v>-232.95996869576985</v>
      </c>
      <c r="AT12" s="1">
        <f t="shared" si="24"/>
        <v>-280.76830861412458</v>
      </c>
      <c r="AU12" s="1">
        <f t="shared" si="24"/>
        <v>-277.8034234183425</v>
      </c>
      <c r="AV12" s="1">
        <f t="shared" si="24"/>
        <v>-277.8034234183425</v>
      </c>
      <c r="AW12" s="1">
        <f t="shared" si="24"/>
        <v>-277.8034234183425</v>
      </c>
      <c r="AX12" s="1"/>
      <c r="AY12" s="94" t="s">
        <v>1</v>
      </c>
      <c r="AZ12" s="94">
        <f>SOTP!W2</f>
        <v>0.10567499999999999</v>
      </c>
      <c r="BF12" s="70" t="s">
        <v>79</v>
      </c>
      <c r="BG12" s="75">
        <v>0.02</v>
      </c>
      <c r="BH12" s="75">
        <v>1.4999999999999999E-2</v>
      </c>
      <c r="BI12" s="75">
        <v>1.4999999999999999E-2</v>
      </c>
      <c r="BJ12" s="75">
        <v>1.4999999999999999E-2</v>
      </c>
      <c r="BK12" s="75">
        <v>1.4999999999999999E-2</v>
      </c>
      <c r="BL12" s="76">
        <v>0.01</v>
      </c>
    </row>
    <row r="13" spans="1:64" x14ac:dyDescent="0.3">
      <c r="A13" s="118" t="s">
        <v>3</v>
      </c>
      <c r="B13" s="1">
        <f t="shared" ref="B13:AW13" si="25">SUM(B9:B12)</f>
        <v>-13.517821557764073</v>
      </c>
      <c r="C13" s="1">
        <f t="shared" si="25"/>
        <v>-6.7589107788820364</v>
      </c>
      <c r="D13" s="1">
        <f t="shared" si="25"/>
        <v>54.330787652143272</v>
      </c>
      <c r="E13" s="1">
        <f t="shared" si="25"/>
        <v>92.714319116142605</v>
      </c>
      <c r="F13" s="1">
        <f t="shared" si="25"/>
        <v>67.026477849537287</v>
      </c>
      <c r="G13" s="1">
        <f t="shared" si="25"/>
        <v>79.882804722895685</v>
      </c>
      <c r="H13" s="1">
        <f t="shared" si="25"/>
        <v>81.208426210438375</v>
      </c>
      <c r="I13" s="1">
        <f t="shared" si="25"/>
        <v>81.106929346584423</v>
      </c>
      <c r="J13" s="1">
        <f t="shared" si="25"/>
        <v>-7.6364058228126517</v>
      </c>
      <c r="K13" s="1">
        <f t="shared" si="25"/>
        <v>-7.6364058228126517</v>
      </c>
      <c r="L13" s="1">
        <f t="shared" si="25"/>
        <v>-3.8182029114063258</v>
      </c>
      <c r="M13" s="1">
        <f t="shared" si="25"/>
        <v>9.2593475250344</v>
      </c>
      <c r="N13" s="1">
        <f t="shared" si="25"/>
        <v>45.015789368793591</v>
      </c>
      <c r="O13" s="1">
        <f t="shared" si="25"/>
        <v>63.703310951052941</v>
      </c>
      <c r="P13" s="1">
        <f t="shared" si="25"/>
        <v>66.365965147054538</v>
      </c>
      <c r="Q13" s="1">
        <f t="shared" si="25"/>
        <v>66.182183797709655</v>
      </c>
      <c r="R13" s="1">
        <f t="shared" si="25"/>
        <v>-7.806581547872967</v>
      </c>
      <c r="S13" s="1">
        <f t="shared" si="25"/>
        <v>-3.9032907739364835</v>
      </c>
      <c r="T13" s="1">
        <f t="shared" si="25"/>
        <v>14.337356889342004</v>
      </c>
      <c r="U13" s="1">
        <f t="shared" si="25"/>
        <v>68.74797875198081</v>
      </c>
      <c r="V13" s="1">
        <f t="shared" si="25"/>
        <v>78.71156289935459</v>
      </c>
      <c r="W13" s="1">
        <f t="shared" si="25"/>
        <v>78.065815478729661</v>
      </c>
      <c r="X13" s="1">
        <f t="shared" si="25"/>
        <v>78.065815478729661</v>
      </c>
      <c r="Y13" s="1">
        <f t="shared" si="25"/>
        <v>78.065815478729661</v>
      </c>
      <c r="Z13" s="1">
        <f t="shared" si="25"/>
        <v>-17.068147135972119</v>
      </c>
      <c r="AA13" s="1">
        <f t="shared" si="25"/>
        <v>-7.3149202011309074</v>
      </c>
      <c r="AB13" s="1">
        <f t="shared" si="25"/>
        <v>3.4758658924135659</v>
      </c>
      <c r="AC13" s="1">
        <f t="shared" si="25"/>
        <v>67.127035572547641</v>
      </c>
      <c r="AD13" s="1">
        <f t="shared" si="25"/>
        <v>78.781633482415771</v>
      </c>
      <c r="AE13" s="1">
        <f t="shared" si="25"/>
        <v>78.025815478729726</v>
      </c>
      <c r="AF13" s="1">
        <f t="shared" si="25"/>
        <v>78.025815478729726</v>
      </c>
      <c r="AG13" s="1">
        <f t="shared" si="25"/>
        <v>78.025815478729726</v>
      </c>
      <c r="AH13" s="1">
        <f t="shared" si="25"/>
        <v>-3.1843031266477073</v>
      </c>
      <c r="AI13" s="1">
        <f t="shared" si="25"/>
        <v>-1.0614343755492359</v>
      </c>
      <c r="AJ13" s="1">
        <f t="shared" si="25"/>
        <v>-3.0330428596316139</v>
      </c>
      <c r="AK13" s="1">
        <f t="shared" si="25"/>
        <v>30.875432126191683</v>
      </c>
      <c r="AL13" s="1">
        <f t="shared" si="25"/>
        <v>48.59739687515787</v>
      </c>
      <c r="AM13" s="1">
        <f t="shared" si="25"/>
        <v>51.1229931073904</v>
      </c>
      <c r="AN13" s="1">
        <f t="shared" si="25"/>
        <v>50.948850026363317</v>
      </c>
      <c r="AO13" s="1">
        <f t="shared" si="25"/>
        <v>50.948850026363317</v>
      </c>
      <c r="AP13" s="1">
        <f t="shared" si="25"/>
        <v>-10.611284316972593</v>
      </c>
      <c r="AQ13" s="1">
        <f t="shared" si="25"/>
        <v>-10.611284316972593</v>
      </c>
      <c r="AR13" s="1">
        <f t="shared" si="25"/>
        <v>-4.2445137267890365</v>
      </c>
      <c r="AS13" s="1">
        <f t="shared" si="25"/>
        <v>73.951678807593481</v>
      </c>
      <c r="AT13" s="1">
        <f t="shared" si="25"/>
        <v>99.188930819498125</v>
      </c>
      <c r="AU13" s="1">
        <f t="shared" si="25"/>
        <v>97.623815716147817</v>
      </c>
      <c r="AV13" s="1">
        <f t="shared" si="25"/>
        <v>97.623815716147817</v>
      </c>
      <c r="AW13" s="1">
        <f t="shared" si="25"/>
        <v>97.623815716147817</v>
      </c>
      <c r="AX13" s="1"/>
      <c r="AY13" s="94" t="s">
        <v>67</v>
      </c>
      <c r="AZ13" s="94">
        <f>SOTP!W4</f>
        <v>5.7975388146743925E-2</v>
      </c>
      <c r="BF13" s="70" t="s">
        <v>80</v>
      </c>
      <c r="BG13" s="75">
        <v>0.08</v>
      </c>
      <c r="BH13" s="75">
        <v>7.0000000000000007E-2</v>
      </c>
      <c r="BI13" s="75">
        <v>0.06</v>
      </c>
      <c r="BJ13" s="75">
        <v>0.06</v>
      </c>
      <c r="BK13" s="75">
        <v>0.06</v>
      </c>
      <c r="BL13" s="76">
        <v>0.06</v>
      </c>
    </row>
    <row r="14" spans="1:64" x14ac:dyDescent="0.3">
      <c r="A14" s="113" t="s">
        <v>93</v>
      </c>
      <c r="B14" s="1">
        <f t="shared" ref="B14:AW14" si="26">MAX(0,B13*$AZ$12)</f>
        <v>0</v>
      </c>
      <c r="C14" s="1">
        <f t="shared" si="26"/>
        <v>0</v>
      </c>
      <c r="D14" s="1">
        <f t="shared" si="26"/>
        <v>5.7414059851402399</v>
      </c>
      <c r="E14" s="1">
        <f t="shared" si="26"/>
        <v>9.7975856725983697</v>
      </c>
      <c r="F14" s="1">
        <f t="shared" si="26"/>
        <v>7.0830230467498518</v>
      </c>
      <c r="G14" s="1">
        <f t="shared" si="26"/>
        <v>8.441615389092</v>
      </c>
      <c r="H14" s="1">
        <f t="shared" si="26"/>
        <v>8.5817004397880741</v>
      </c>
      <c r="I14" s="1">
        <f t="shared" si="26"/>
        <v>8.5709747587003076</v>
      </c>
      <c r="J14" s="1">
        <f t="shared" si="26"/>
        <v>0</v>
      </c>
      <c r="K14" s="1">
        <f t="shared" si="26"/>
        <v>0</v>
      </c>
      <c r="L14" s="1">
        <f t="shared" si="26"/>
        <v>0</v>
      </c>
      <c r="M14" s="1">
        <f t="shared" si="26"/>
        <v>0.97848154970801016</v>
      </c>
      <c r="N14" s="1">
        <f t="shared" si="26"/>
        <v>4.7570435415472625</v>
      </c>
      <c r="O14" s="1">
        <f t="shared" si="26"/>
        <v>6.7318473847525189</v>
      </c>
      <c r="P14" s="1">
        <f t="shared" si="26"/>
        <v>7.0132233669149882</v>
      </c>
      <c r="Q14" s="1">
        <f t="shared" si="26"/>
        <v>6.9938022728229674</v>
      </c>
      <c r="R14" s="1">
        <f t="shared" si="26"/>
        <v>0</v>
      </c>
      <c r="S14" s="1">
        <f t="shared" si="26"/>
        <v>0</v>
      </c>
      <c r="T14" s="1">
        <f t="shared" si="26"/>
        <v>1.5151001892812161</v>
      </c>
      <c r="U14" s="1">
        <f t="shared" si="26"/>
        <v>7.2649426546155711</v>
      </c>
      <c r="V14" s="1">
        <f t="shared" si="26"/>
        <v>8.3178444093892949</v>
      </c>
      <c r="W14" s="1">
        <f t="shared" si="26"/>
        <v>8.2496050507147558</v>
      </c>
      <c r="X14" s="1">
        <f t="shared" si="26"/>
        <v>8.2496050507147558</v>
      </c>
      <c r="Y14" s="1">
        <f t="shared" si="26"/>
        <v>8.2496050507147558</v>
      </c>
      <c r="Z14" s="1">
        <f t="shared" si="26"/>
        <v>0</v>
      </c>
      <c r="AA14" s="1">
        <f t="shared" si="26"/>
        <v>0</v>
      </c>
      <c r="AB14" s="1">
        <f t="shared" si="26"/>
        <v>0.36731212818080355</v>
      </c>
      <c r="AC14" s="1">
        <f t="shared" si="26"/>
        <v>7.0936494841289717</v>
      </c>
      <c r="AD14" s="1">
        <f t="shared" si="26"/>
        <v>8.3252491182542858</v>
      </c>
      <c r="AE14" s="1">
        <f t="shared" si="26"/>
        <v>8.2453780507147627</v>
      </c>
      <c r="AF14" s="1">
        <f t="shared" si="26"/>
        <v>8.2453780507147627</v>
      </c>
      <c r="AG14" s="1">
        <f t="shared" si="26"/>
        <v>8.2453780507147627</v>
      </c>
      <c r="AH14" s="1">
        <f t="shared" si="26"/>
        <v>0</v>
      </c>
      <c r="AI14" s="1">
        <f t="shared" si="26"/>
        <v>0</v>
      </c>
      <c r="AJ14" s="1">
        <f t="shared" si="26"/>
        <v>0</v>
      </c>
      <c r="AK14" s="1">
        <f t="shared" si="26"/>
        <v>3.2627612899353058</v>
      </c>
      <c r="AL14" s="1">
        <f t="shared" si="26"/>
        <v>5.1355299147823077</v>
      </c>
      <c r="AM14" s="1">
        <f t="shared" si="26"/>
        <v>5.4024222966234801</v>
      </c>
      <c r="AN14" s="1">
        <f t="shared" si="26"/>
        <v>5.3840197265359429</v>
      </c>
      <c r="AO14" s="1">
        <f t="shared" si="26"/>
        <v>5.3840197265359429</v>
      </c>
      <c r="AP14" s="1">
        <f t="shared" si="26"/>
        <v>0</v>
      </c>
      <c r="AQ14" s="1">
        <f t="shared" si="26"/>
        <v>0</v>
      </c>
      <c r="AR14" s="1">
        <f t="shared" si="26"/>
        <v>0</v>
      </c>
      <c r="AS14" s="1">
        <f t="shared" si="26"/>
        <v>7.8148436579924407</v>
      </c>
      <c r="AT14" s="1">
        <f t="shared" si="26"/>
        <v>10.481790264350463</v>
      </c>
      <c r="AU14" s="1">
        <f t="shared" si="26"/>
        <v>10.316396725803919</v>
      </c>
      <c r="AV14" s="1">
        <f t="shared" si="26"/>
        <v>10.316396725803919</v>
      </c>
      <c r="AW14" s="1">
        <f t="shared" si="26"/>
        <v>10.316396725803919</v>
      </c>
      <c r="AX14" s="1"/>
      <c r="BF14" s="70" t="s">
        <v>94</v>
      </c>
      <c r="BG14" s="75">
        <v>0.04</v>
      </c>
      <c r="BH14" s="75">
        <v>0.03</v>
      </c>
      <c r="BI14" s="75">
        <v>0.02</v>
      </c>
      <c r="BJ14" s="77">
        <v>3.5000000000000003E-2</v>
      </c>
      <c r="BK14" s="77">
        <v>1.4999999999999999E-2</v>
      </c>
      <c r="BL14" s="78">
        <v>2.5000000000000001E-2</v>
      </c>
    </row>
    <row r="15" spans="1:64" x14ac:dyDescent="0.3">
      <c r="A15" s="118" t="s">
        <v>7</v>
      </c>
      <c r="B15" s="1">
        <f>SUM(B13:B14)</f>
        <v>-13.517821557764073</v>
      </c>
      <c r="C15" s="1">
        <f t="shared" ref="C15:AW15" si="27">SUM(C13:C14)</f>
        <v>-6.7589107788820364</v>
      </c>
      <c r="D15" s="1">
        <f t="shared" si="27"/>
        <v>60.072193637283512</v>
      </c>
      <c r="E15" s="1">
        <f t="shared" si="27"/>
        <v>102.51190478874098</v>
      </c>
      <c r="F15" s="1">
        <f t="shared" si="27"/>
        <v>74.109500896287145</v>
      </c>
      <c r="G15" s="1">
        <f t="shared" si="27"/>
        <v>88.324420111987678</v>
      </c>
      <c r="H15" s="1">
        <f t="shared" si="27"/>
        <v>89.790126650226455</v>
      </c>
      <c r="I15" s="1">
        <f t="shared" si="27"/>
        <v>89.677904105284725</v>
      </c>
      <c r="J15" s="1">
        <f t="shared" si="27"/>
        <v>-7.6364058228126517</v>
      </c>
      <c r="K15" s="1">
        <f t="shared" si="27"/>
        <v>-7.6364058228126517</v>
      </c>
      <c r="L15" s="1">
        <f t="shared" si="27"/>
        <v>-3.8182029114063258</v>
      </c>
      <c r="M15" s="1">
        <f t="shared" si="27"/>
        <v>10.237829074742411</v>
      </c>
      <c r="N15" s="1">
        <f t="shared" si="27"/>
        <v>49.772832910340853</v>
      </c>
      <c r="O15" s="1">
        <f t="shared" si="27"/>
        <v>70.435158335805454</v>
      </c>
      <c r="P15" s="1">
        <f t="shared" si="27"/>
        <v>73.379188513969524</v>
      </c>
      <c r="Q15" s="1">
        <f t="shared" si="27"/>
        <v>73.175986070532616</v>
      </c>
      <c r="R15" s="1">
        <f t="shared" si="27"/>
        <v>-7.806581547872967</v>
      </c>
      <c r="S15" s="1">
        <f t="shared" si="27"/>
        <v>-3.9032907739364835</v>
      </c>
      <c r="T15" s="1">
        <f t="shared" si="27"/>
        <v>15.852457078623221</v>
      </c>
      <c r="U15" s="1">
        <f t="shared" si="27"/>
        <v>76.012921406596377</v>
      </c>
      <c r="V15" s="1">
        <f t="shared" si="27"/>
        <v>87.029407308743885</v>
      </c>
      <c r="W15" s="1">
        <f t="shared" si="27"/>
        <v>86.315420529444424</v>
      </c>
      <c r="X15" s="1">
        <f t="shared" si="27"/>
        <v>86.315420529444424</v>
      </c>
      <c r="Y15" s="1">
        <f t="shared" si="27"/>
        <v>86.315420529444424</v>
      </c>
      <c r="Z15" s="1">
        <f t="shared" si="27"/>
        <v>-17.068147135972119</v>
      </c>
      <c r="AA15" s="1">
        <f t="shared" si="27"/>
        <v>-7.3149202011309074</v>
      </c>
      <c r="AB15" s="1">
        <f t="shared" si="27"/>
        <v>3.8431780205943693</v>
      </c>
      <c r="AC15" s="1">
        <f t="shared" si="27"/>
        <v>74.220685056676615</v>
      </c>
      <c r="AD15" s="1">
        <f t="shared" si="27"/>
        <v>87.106882600670062</v>
      </c>
      <c r="AE15" s="1">
        <f t="shared" si="27"/>
        <v>86.271193529444488</v>
      </c>
      <c r="AF15" s="1">
        <f t="shared" si="27"/>
        <v>86.271193529444488</v>
      </c>
      <c r="AG15" s="1">
        <f t="shared" si="27"/>
        <v>86.271193529444488</v>
      </c>
      <c r="AH15" s="1">
        <f t="shared" si="27"/>
        <v>-3.1843031266477073</v>
      </c>
      <c r="AI15" s="1">
        <f t="shared" si="27"/>
        <v>-1.0614343755492359</v>
      </c>
      <c r="AJ15" s="1">
        <f t="shared" si="27"/>
        <v>-3.0330428596316139</v>
      </c>
      <c r="AK15" s="1">
        <f t="shared" si="27"/>
        <v>34.138193416126988</v>
      </c>
      <c r="AL15" s="1">
        <f t="shared" si="27"/>
        <v>53.73292678994018</v>
      </c>
      <c r="AM15" s="1">
        <f t="shared" si="27"/>
        <v>56.525415404013877</v>
      </c>
      <c r="AN15" s="1">
        <f t="shared" si="27"/>
        <v>56.332869752899256</v>
      </c>
      <c r="AO15" s="1">
        <f t="shared" si="27"/>
        <v>56.332869752899256</v>
      </c>
      <c r="AP15" s="1">
        <f t="shared" si="27"/>
        <v>-10.611284316972593</v>
      </c>
      <c r="AQ15" s="1">
        <f t="shared" si="27"/>
        <v>-10.611284316972593</v>
      </c>
      <c r="AR15" s="1">
        <f t="shared" si="27"/>
        <v>-4.2445137267890365</v>
      </c>
      <c r="AS15" s="1">
        <f t="shared" si="27"/>
        <v>81.766522465585922</v>
      </c>
      <c r="AT15" s="1">
        <f t="shared" si="27"/>
        <v>109.67072108384859</v>
      </c>
      <c r="AU15" s="1">
        <f t="shared" si="27"/>
        <v>107.94021244195173</v>
      </c>
      <c r="AV15" s="1">
        <f t="shared" si="27"/>
        <v>107.94021244195173</v>
      </c>
      <c r="AW15" s="1">
        <f t="shared" si="27"/>
        <v>107.94021244195173</v>
      </c>
      <c r="AX15" s="1"/>
      <c r="BF15" s="70" t="s">
        <v>95</v>
      </c>
      <c r="BG15" s="75">
        <v>0.02</v>
      </c>
      <c r="BH15" s="77">
        <v>1.4999999999999999E-2</v>
      </c>
      <c r="BI15" s="75">
        <v>0.01</v>
      </c>
      <c r="BJ15" s="77">
        <v>1.4999999999999999E-2</v>
      </c>
      <c r="BK15" s="77">
        <v>5.0000000000000001E-3</v>
      </c>
      <c r="BL15" s="76">
        <v>0.01</v>
      </c>
    </row>
    <row r="16" spans="1:64" s="3" customFormat="1" x14ac:dyDescent="0.3">
      <c r="A16" s="113" t="s">
        <v>105</v>
      </c>
      <c r="B16" s="1">
        <v>0</v>
      </c>
      <c r="C16" s="1">
        <f t="shared" ref="C16:I16" si="28">-(C9-B9)*$BG$13</f>
        <v>0</v>
      </c>
      <c r="D16" s="1">
        <f t="shared" si="28"/>
        <v>-11.087915847376181</v>
      </c>
      <c r="E16" s="1">
        <f t="shared" si="28"/>
        <v>-7.8333737681631304</v>
      </c>
      <c r="F16" s="1">
        <f t="shared" si="28"/>
        <v>-5.2407919699792203</v>
      </c>
      <c r="G16" s="1">
        <f t="shared" si="28"/>
        <v>-2.6237401782364032</v>
      </c>
      <c r="H16" s="1">
        <f t="shared" si="28"/>
        <v>-0.27053499745768933</v>
      </c>
      <c r="I16" s="90">
        <f t="shared" si="28"/>
        <v>2.0713645684477342E-2</v>
      </c>
      <c r="J16" s="1">
        <v>0</v>
      </c>
      <c r="K16" s="1">
        <f t="shared" ref="K16:Q16" si="29">-(K9-J9)*$BH$13</f>
        <v>0</v>
      </c>
      <c r="L16" s="1">
        <f t="shared" si="29"/>
        <v>0</v>
      </c>
      <c r="M16" s="1">
        <f t="shared" si="29"/>
        <v>-8.8641262328086956</v>
      </c>
      <c r="N16" s="1">
        <f t="shared" si="29"/>
        <v>-5.6246088293553802</v>
      </c>
      <c r="O16" s="1">
        <f t="shared" si="29"/>
        <v>-2.939610136535177</v>
      </c>
      <c r="P16" s="1">
        <f t="shared" si="29"/>
        <v>-0.41884448026991611</v>
      </c>
      <c r="Q16" s="90">
        <f t="shared" si="29"/>
        <v>2.8909425739644522E-2</v>
      </c>
      <c r="R16" s="1">
        <v>0</v>
      </c>
      <c r="S16" s="1">
        <f t="shared" ref="S16:Y16" si="30">-(S9-R9)*$BI$13</f>
        <v>0</v>
      </c>
      <c r="T16" s="1">
        <f t="shared" si="30"/>
        <v>-14.72950029052058</v>
      </c>
      <c r="U16" s="1">
        <f t="shared" si="30"/>
        <v>-7.4196302539962025</v>
      </c>
      <c r="V16" s="1">
        <f t="shared" si="30"/>
        <v>-1.3586705655509728</v>
      </c>
      <c r="W16" s="90">
        <f t="shared" si="30"/>
        <v>8.8056466448856549E-2</v>
      </c>
      <c r="X16" s="1">
        <f t="shared" si="30"/>
        <v>0</v>
      </c>
      <c r="Y16" s="1">
        <f t="shared" si="30"/>
        <v>0</v>
      </c>
      <c r="Z16" s="1">
        <v>0</v>
      </c>
      <c r="AA16" s="1">
        <f t="shared" ref="AA16:AG16" si="31">-(AA9-Z9)*$BJ$13</f>
        <v>0</v>
      </c>
      <c r="AB16" s="1">
        <f t="shared" si="31"/>
        <v>-18.402892029817394</v>
      </c>
      <c r="AC16" s="1">
        <f t="shared" si="31"/>
        <v>-9.2695878174952515</v>
      </c>
      <c r="AD16" s="1">
        <f t="shared" si="31"/>
        <v>-1.6972715402720553</v>
      </c>
      <c r="AE16" s="90">
        <f t="shared" si="31"/>
        <v>0.11007058306107069</v>
      </c>
      <c r="AF16" s="1">
        <f t="shared" si="31"/>
        <v>0</v>
      </c>
      <c r="AG16" s="1">
        <f t="shared" si="31"/>
        <v>0</v>
      </c>
      <c r="AH16" s="1">
        <v>0</v>
      </c>
      <c r="AI16" s="1">
        <f t="shared" ref="AI16:AO16" si="32">-(AI9-AH9)*$BK$13</f>
        <v>0</v>
      </c>
      <c r="AJ16" s="1">
        <f t="shared" si="32"/>
        <v>-6.3361975398720629</v>
      </c>
      <c r="AK16" s="1">
        <f t="shared" si="32"/>
        <v>-4.020767784880233</v>
      </c>
      <c r="AL16" s="1">
        <f t="shared" si="32"/>
        <v>-2.1014187449367014</v>
      </c>
      <c r="AM16" s="90">
        <f t="shared" si="32"/>
        <v>-0.29947781409871876</v>
      </c>
      <c r="AN16" s="90">
        <f t="shared" si="32"/>
        <v>2.0649377196886576E-2</v>
      </c>
      <c r="AO16" s="1">
        <f t="shared" si="32"/>
        <v>0</v>
      </c>
      <c r="AP16" s="1">
        <v>0</v>
      </c>
      <c r="AQ16" s="1">
        <f t="shared" ref="AQ16:AW16" si="33">-(AQ9-AP9)*$BL$13</f>
        <v>0</v>
      </c>
      <c r="AR16" s="1">
        <f t="shared" si="33"/>
        <v>0</v>
      </c>
      <c r="AS16" s="1">
        <f t="shared" si="33"/>
        <v>-21.356146862866602</v>
      </c>
      <c r="AT16" s="1">
        <f t="shared" si="33"/>
        <v>-4.3827355158155621</v>
      </c>
      <c r="AU16" s="1">
        <f t="shared" si="33"/>
        <v>0.2718000179479429</v>
      </c>
      <c r="AV16" s="1">
        <f t="shared" si="33"/>
        <v>0</v>
      </c>
      <c r="AW16" s="1">
        <f t="shared" si="33"/>
        <v>0</v>
      </c>
      <c r="AX16" s="1"/>
      <c r="AZ16" s="89"/>
      <c r="BE16"/>
      <c r="BF16" s="70" t="s">
        <v>82</v>
      </c>
      <c r="BG16" s="75">
        <v>0.04</v>
      </c>
      <c r="BH16" s="75">
        <v>0.03</v>
      </c>
      <c r="BI16" s="75">
        <v>0.02</v>
      </c>
      <c r="BJ16" s="77">
        <v>2.5000000000000001E-2</v>
      </c>
      <c r="BK16" s="77">
        <v>1.4999999999999999E-2</v>
      </c>
      <c r="BL16" s="76">
        <v>0.03</v>
      </c>
    </row>
    <row r="17" spans="1:64" x14ac:dyDescent="0.3">
      <c r="A17" s="113" t="s">
        <v>108</v>
      </c>
      <c r="B17" s="1">
        <f t="shared" ref="B17:I17" si="34">-B9*$BG$12</f>
        <v>0</v>
      </c>
      <c r="C17" s="1">
        <f t="shared" si="34"/>
        <v>0</v>
      </c>
      <c r="D17" s="1">
        <f t="shared" si="34"/>
        <v>-2.7719789618440451</v>
      </c>
      <c r="E17" s="1">
        <f t="shared" si="34"/>
        <v>-4.7303224038848279</v>
      </c>
      <c r="F17" s="1">
        <f t="shared" si="34"/>
        <v>-6.040520396379633</v>
      </c>
      <c r="G17" s="1">
        <f t="shared" si="34"/>
        <v>-6.6964554409387338</v>
      </c>
      <c r="H17" s="1">
        <f t="shared" si="34"/>
        <v>-6.7640891903031557</v>
      </c>
      <c r="I17" s="1">
        <f t="shared" si="34"/>
        <v>-6.7589107788820364</v>
      </c>
      <c r="J17" s="1">
        <f t="shared" ref="J17:Q17" si="35">-J9*$BH$12</f>
        <v>0</v>
      </c>
      <c r="K17" s="1">
        <f t="shared" si="35"/>
        <v>0</v>
      </c>
      <c r="L17" s="1">
        <f t="shared" si="35"/>
        <v>0</v>
      </c>
      <c r="M17" s="1">
        <f t="shared" si="35"/>
        <v>-1.8994556213161486</v>
      </c>
      <c r="N17" s="1">
        <f t="shared" si="35"/>
        <v>-3.1047289418923012</v>
      </c>
      <c r="O17" s="1">
        <f t="shared" si="35"/>
        <v>-3.7346453997212676</v>
      </c>
      <c r="P17" s="1">
        <f t="shared" si="35"/>
        <v>-3.8243977883505353</v>
      </c>
      <c r="Q17" s="1">
        <f t="shared" si="35"/>
        <v>-3.8182029114063258</v>
      </c>
      <c r="R17" s="1">
        <f t="shared" ref="R17:Y17" si="36">-R9*$BI$12</f>
        <v>0</v>
      </c>
      <c r="S17" s="1">
        <f t="shared" si="36"/>
        <v>0</v>
      </c>
      <c r="T17" s="1">
        <f t="shared" si="36"/>
        <v>-3.682375072630145</v>
      </c>
      <c r="U17" s="1">
        <f t="shared" si="36"/>
        <v>-5.5372826361291958</v>
      </c>
      <c r="V17" s="1">
        <f t="shared" si="36"/>
        <v>-5.8769502775169391</v>
      </c>
      <c r="W17" s="1">
        <f t="shared" si="36"/>
        <v>-5.8549361609047246</v>
      </c>
      <c r="X17" s="1">
        <f t="shared" si="36"/>
        <v>-5.8549361609047246</v>
      </c>
      <c r="Y17" s="1">
        <f t="shared" si="36"/>
        <v>-5.8549361609047246</v>
      </c>
      <c r="Z17" s="1">
        <f t="shared" ref="Z17:AG17" si="37">-Z9*$BJ$12</f>
        <v>0</v>
      </c>
      <c r="AA17" s="1">
        <f t="shared" si="37"/>
        <v>0</v>
      </c>
      <c r="AB17" s="1">
        <f t="shared" si="37"/>
        <v>-4.6007230074543486</v>
      </c>
      <c r="AC17" s="1">
        <f t="shared" si="37"/>
        <v>-6.918119961828161</v>
      </c>
      <c r="AD17" s="1">
        <f t="shared" si="37"/>
        <v>-7.3424378468961748</v>
      </c>
      <c r="AE17" s="1">
        <f t="shared" si="37"/>
        <v>-7.3149202011309074</v>
      </c>
      <c r="AF17" s="1">
        <f t="shared" si="37"/>
        <v>-7.3149202011309074</v>
      </c>
      <c r="AG17" s="1">
        <f t="shared" si="37"/>
        <v>-7.3149202011309074</v>
      </c>
      <c r="AH17" s="1">
        <f t="shared" ref="AH17:AO17" si="38">-AH9*$BK$12</f>
        <v>0</v>
      </c>
      <c r="AI17" s="1">
        <f t="shared" si="38"/>
        <v>0</v>
      </c>
      <c r="AJ17" s="1">
        <f t="shared" si="38"/>
        <v>-1.5840493849680157</v>
      </c>
      <c r="AK17" s="1">
        <f t="shared" si="38"/>
        <v>-2.5892413311880738</v>
      </c>
      <c r="AL17" s="1">
        <f t="shared" si="38"/>
        <v>-3.1145960174222491</v>
      </c>
      <c r="AM17" s="1">
        <f t="shared" si="38"/>
        <v>-3.1894654709469288</v>
      </c>
      <c r="AN17" s="1">
        <f t="shared" si="38"/>
        <v>-3.1843031266477073</v>
      </c>
      <c r="AO17" s="1">
        <f t="shared" si="38"/>
        <v>-3.1843031266477073</v>
      </c>
      <c r="AP17" s="1">
        <f t="shared" ref="AP17:AW17" si="39">-AP9*$BL$12</f>
        <v>0</v>
      </c>
      <c r="AQ17" s="1">
        <f t="shared" si="39"/>
        <v>0</v>
      </c>
      <c r="AR17" s="1">
        <f t="shared" si="39"/>
        <v>0</v>
      </c>
      <c r="AS17" s="1">
        <f t="shared" si="39"/>
        <v>-3.559357810477767</v>
      </c>
      <c r="AT17" s="1">
        <f t="shared" si="39"/>
        <v>-4.2898137297803611</v>
      </c>
      <c r="AU17" s="1">
        <f t="shared" si="39"/>
        <v>-4.2445137267890365</v>
      </c>
      <c r="AV17" s="1">
        <f t="shared" si="39"/>
        <v>-4.2445137267890365</v>
      </c>
      <c r="AW17" s="1">
        <f t="shared" si="39"/>
        <v>-4.2445137267890365</v>
      </c>
      <c r="AX17" s="1"/>
      <c r="BE17" s="3"/>
      <c r="BF17" s="70" t="s">
        <v>88</v>
      </c>
      <c r="BG17" s="69">
        <f>BG16*SOTP!B38</f>
        <v>290</v>
      </c>
      <c r="BH17" s="69">
        <f>BH16*SOTP!B38</f>
        <v>217.5</v>
      </c>
      <c r="BI17" s="69">
        <f>BI16*SOTP!H38</f>
        <v>336</v>
      </c>
      <c r="BJ17" s="69">
        <f>BJ16*SOTP!H38</f>
        <v>420</v>
      </c>
      <c r="BK17" s="69">
        <f>BK16*SOTP!N38</f>
        <v>182.1</v>
      </c>
      <c r="BL17" s="73">
        <f>BL16*SOTP!N38</f>
        <v>364.2</v>
      </c>
    </row>
    <row r="18" spans="1:64" x14ac:dyDescent="0.3">
      <c r="A18" s="119" t="s">
        <v>4</v>
      </c>
      <c r="B18" s="1">
        <v>0</v>
      </c>
      <c r="C18" s="1">
        <f>-B17</f>
        <v>0</v>
      </c>
      <c r="D18" s="1">
        <f t="shared" ref="D18:AW18" si="40">-C17</f>
        <v>0</v>
      </c>
      <c r="E18" s="1">
        <f t="shared" si="40"/>
        <v>2.7719789618440451</v>
      </c>
      <c r="F18" s="1">
        <f t="shared" si="40"/>
        <v>4.7303224038848279</v>
      </c>
      <c r="G18" s="1">
        <f t="shared" si="40"/>
        <v>6.040520396379633</v>
      </c>
      <c r="H18" s="1">
        <f t="shared" si="40"/>
        <v>6.6964554409387338</v>
      </c>
      <c r="I18" s="1">
        <f t="shared" si="40"/>
        <v>6.7640891903031557</v>
      </c>
      <c r="J18" s="1">
        <v>0</v>
      </c>
      <c r="K18" s="1">
        <f t="shared" si="40"/>
        <v>0</v>
      </c>
      <c r="L18" s="1">
        <f t="shared" si="40"/>
        <v>0</v>
      </c>
      <c r="M18" s="1">
        <f t="shared" si="40"/>
        <v>0</v>
      </c>
      <c r="N18" s="1">
        <f t="shared" si="40"/>
        <v>1.8994556213161486</v>
      </c>
      <c r="O18" s="1">
        <f t="shared" si="40"/>
        <v>3.1047289418923012</v>
      </c>
      <c r="P18" s="1">
        <f t="shared" si="40"/>
        <v>3.7346453997212676</v>
      </c>
      <c r="Q18" s="1">
        <f t="shared" si="40"/>
        <v>3.8243977883505353</v>
      </c>
      <c r="R18" s="1">
        <v>0</v>
      </c>
      <c r="S18" s="1">
        <f t="shared" si="40"/>
        <v>0</v>
      </c>
      <c r="T18" s="1">
        <f t="shared" si="40"/>
        <v>0</v>
      </c>
      <c r="U18" s="1">
        <f t="shared" si="40"/>
        <v>3.682375072630145</v>
      </c>
      <c r="V18" s="1">
        <f t="shared" si="40"/>
        <v>5.5372826361291958</v>
      </c>
      <c r="W18" s="1">
        <f t="shared" si="40"/>
        <v>5.8769502775169391</v>
      </c>
      <c r="X18" s="1">
        <f t="shared" si="40"/>
        <v>5.8549361609047246</v>
      </c>
      <c r="Y18" s="1">
        <f t="shared" si="40"/>
        <v>5.8549361609047246</v>
      </c>
      <c r="Z18" s="1">
        <v>0</v>
      </c>
      <c r="AA18" s="1">
        <f t="shared" si="40"/>
        <v>0</v>
      </c>
      <c r="AB18" s="1">
        <f t="shared" si="40"/>
        <v>0</v>
      </c>
      <c r="AC18" s="1">
        <f t="shared" si="40"/>
        <v>4.6007230074543486</v>
      </c>
      <c r="AD18" s="1">
        <f t="shared" si="40"/>
        <v>6.918119961828161</v>
      </c>
      <c r="AE18" s="1">
        <f t="shared" si="40"/>
        <v>7.3424378468961748</v>
      </c>
      <c r="AF18" s="1">
        <f t="shared" si="40"/>
        <v>7.3149202011309074</v>
      </c>
      <c r="AG18" s="1">
        <f t="shared" si="40"/>
        <v>7.3149202011309074</v>
      </c>
      <c r="AH18" s="1">
        <v>0</v>
      </c>
      <c r="AI18" s="1">
        <f t="shared" si="40"/>
        <v>0</v>
      </c>
      <c r="AJ18" s="1">
        <f t="shared" si="40"/>
        <v>0</v>
      </c>
      <c r="AK18" s="1">
        <f t="shared" si="40"/>
        <v>1.5840493849680157</v>
      </c>
      <c r="AL18" s="1">
        <f t="shared" si="40"/>
        <v>2.5892413311880738</v>
      </c>
      <c r="AM18" s="1">
        <f t="shared" si="40"/>
        <v>3.1145960174222491</v>
      </c>
      <c r="AN18" s="1">
        <f t="shared" si="40"/>
        <v>3.1894654709469288</v>
      </c>
      <c r="AO18" s="1">
        <f t="shared" si="40"/>
        <v>3.1843031266477073</v>
      </c>
      <c r="AP18" s="1">
        <v>0</v>
      </c>
      <c r="AQ18" s="1">
        <f t="shared" si="40"/>
        <v>0</v>
      </c>
      <c r="AR18" s="1">
        <f t="shared" si="40"/>
        <v>0</v>
      </c>
      <c r="AS18" s="1">
        <f t="shared" si="40"/>
        <v>0</v>
      </c>
      <c r="AT18" s="1">
        <f t="shared" si="40"/>
        <v>3.559357810477767</v>
      </c>
      <c r="AU18" s="1">
        <f t="shared" si="40"/>
        <v>4.2898137297803611</v>
      </c>
      <c r="AV18" s="1">
        <f t="shared" si="40"/>
        <v>4.2445137267890365</v>
      </c>
      <c r="AW18" s="1">
        <f t="shared" si="40"/>
        <v>4.2445137267890365</v>
      </c>
      <c r="AX18" s="1"/>
      <c r="AY18" s="69"/>
      <c r="BF18" s="72" t="s">
        <v>86</v>
      </c>
      <c r="BG18" s="79">
        <v>5</v>
      </c>
      <c r="BH18" s="79">
        <v>4</v>
      </c>
      <c r="BI18" s="79">
        <v>3</v>
      </c>
      <c r="BJ18" s="79">
        <v>3</v>
      </c>
      <c r="BK18" s="79">
        <v>4</v>
      </c>
      <c r="BL18" s="80">
        <v>2</v>
      </c>
    </row>
    <row r="19" spans="1:64" x14ac:dyDescent="0.3">
      <c r="A19" s="118" t="s">
        <v>6</v>
      </c>
      <c r="B19" s="5">
        <f t="shared" ref="B19:AW19" si="41">SUM(B15:B18)</f>
        <v>-13.517821557764073</v>
      </c>
      <c r="C19" s="5">
        <f t="shared" si="41"/>
        <v>-6.7589107788820364</v>
      </c>
      <c r="D19" s="5">
        <f t="shared" si="41"/>
        <v>46.212298828063282</v>
      </c>
      <c r="E19" s="5">
        <f t="shared" si="41"/>
        <v>92.720187578537065</v>
      </c>
      <c r="F19" s="5">
        <f t="shared" si="41"/>
        <v>67.558510933813125</v>
      </c>
      <c r="G19" s="5">
        <f t="shared" si="41"/>
        <v>85.044744889192174</v>
      </c>
      <c r="H19" s="5">
        <f t="shared" si="41"/>
        <v>89.451957903404349</v>
      </c>
      <c r="I19" s="5">
        <f t="shared" si="41"/>
        <v>89.703796162390319</v>
      </c>
      <c r="J19" s="5">
        <f t="shared" si="41"/>
        <v>-7.6364058228126517</v>
      </c>
      <c r="K19" s="5">
        <f t="shared" si="41"/>
        <v>-7.6364058228126517</v>
      </c>
      <c r="L19" s="5">
        <f t="shared" si="41"/>
        <v>-3.8182029114063258</v>
      </c>
      <c r="M19" s="5">
        <f t="shared" si="41"/>
        <v>-0.52575277938243326</v>
      </c>
      <c r="N19" s="5">
        <f t="shared" si="41"/>
        <v>42.942950760409317</v>
      </c>
      <c r="O19" s="5">
        <f t="shared" si="41"/>
        <v>66.865631741441305</v>
      </c>
      <c r="P19" s="5">
        <f t="shared" si="41"/>
        <v>72.870591645070348</v>
      </c>
      <c r="Q19" s="5">
        <f t="shared" si="41"/>
        <v>73.211090373216464</v>
      </c>
      <c r="R19" s="5">
        <f t="shared" si="41"/>
        <v>-7.806581547872967</v>
      </c>
      <c r="S19" s="5">
        <f t="shared" si="41"/>
        <v>-3.9032907739364835</v>
      </c>
      <c r="T19" s="5">
        <f t="shared" si="41"/>
        <v>-2.5594182845275038</v>
      </c>
      <c r="U19" s="5">
        <f t="shared" si="41"/>
        <v>66.738383589101119</v>
      </c>
      <c r="V19" s="5">
        <f t="shared" si="41"/>
        <v>85.33106910180517</v>
      </c>
      <c r="W19" s="5">
        <f t="shared" si="41"/>
        <v>86.425491112505497</v>
      </c>
      <c r="X19" s="5">
        <f t="shared" si="41"/>
        <v>86.315420529444424</v>
      </c>
      <c r="Y19" s="5">
        <f t="shared" si="41"/>
        <v>86.315420529444424</v>
      </c>
      <c r="Z19" s="5">
        <f t="shared" si="41"/>
        <v>-17.068147135972119</v>
      </c>
      <c r="AA19" s="5">
        <f t="shared" si="41"/>
        <v>-7.3149202011309074</v>
      </c>
      <c r="AB19" s="5">
        <f t="shared" si="41"/>
        <v>-19.160437016677374</v>
      </c>
      <c r="AC19" s="5">
        <f t="shared" si="41"/>
        <v>62.633700284807553</v>
      </c>
      <c r="AD19" s="5">
        <f t="shared" si="41"/>
        <v>84.985293175329986</v>
      </c>
      <c r="AE19" s="5">
        <f t="shared" si="41"/>
        <v>86.408781758270834</v>
      </c>
      <c r="AF19" s="5">
        <f t="shared" si="41"/>
        <v>86.271193529444488</v>
      </c>
      <c r="AG19" s="5">
        <f t="shared" si="41"/>
        <v>86.271193529444488</v>
      </c>
      <c r="AH19" s="5">
        <f t="shared" si="41"/>
        <v>-3.1843031266477073</v>
      </c>
      <c r="AI19" s="5">
        <f t="shared" si="41"/>
        <v>-1.0614343755492359</v>
      </c>
      <c r="AJ19" s="5">
        <f t="shared" si="41"/>
        <v>-10.953289784471693</v>
      </c>
      <c r="AK19" s="5">
        <f t="shared" si="41"/>
        <v>29.112233685026695</v>
      </c>
      <c r="AL19" s="5">
        <f t="shared" si="41"/>
        <v>51.106153358769305</v>
      </c>
      <c r="AM19" s="5">
        <f t="shared" si="41"/>
        <v>56.151068136390478</v>
      </c>
      <c r="AN19" s="5">
        <f t="shared" si="41"/>
        <v>56.358681474395368</v>
      </c>
      <c r="AO19" s="5">
        <f t="shared" si="41"/>
        <v>56.332869752899256</v>
      </c>
      <c r="AP19" s="5">
        <f t="shared" si="41"/>
        <v>-10.611284316972593</v>
      </c>
      <c r="AQ19" s="5">
        <f t="shared" si="41"/>
        <v>-10.611284316972593</v>
      </c>
      <c r="AR19" s="5">
        <f t="shared" si="41"/>
        <v>-4.2445137267890365</v>
      </c>
      <c r="AS19" s="5">
        <f t="shared" si="41"/>
        <v>56.851017792241549</v>
      </c>
      <c r="AT19" s="5">
        <f t="shared" si="41"/>
        <v>104.55752964873042</v>
      </c>
      <c r="AU19" s="5">
        <f t="shared" si="41"/>
        <v>108.25731246289099</v>
      </c>
      <c r="AV19" s="5">
        <f t="shared" si="41"/>
        <v>107.94021244195173</v>
      </c>
      <c r="AW19" s="5">
        <f t="shared" si="41"/>
        <v>107.94021244195173</v>
      </c>
      <c r="AX19" s="1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</row>
    <row r="20" spans="1:64" s="91" customFormat="1" x14ac:dyDescent="0.3">
      <c r="A20" s="119"/>
      <c r="AX20" s="1"/>
      <c r="AY20" s="69"/>
      <c r="AZ20" s="69"/>
      <c r="BA20" s="69"/>
      <c r="BB20" s="69"/>
      <c r="BC20" s="69"/>
      <c r="BD20" s="69"/>
      <c r="BE20" s="69"/>
      <c r="BF20" s="92"/>
      <c r="BG20" s="92"/>
      <c r="BH20" s="92"/>
      <c r="BI20" s="92"/>
      <c r="BJ20"/>
    </row>
    <row r="21" spans="1:64" x14ac:dyDescent="0.3">
      <c r="A21" s="117" t="s">
        <v>113</v>
      </c>
      <c r="B21" s="1">
        <f t="shared" ref="B21:I21" si="42">IF(B3&lt;$BG$4,B19,B19*$BG$5)</f>
        <v>-13.517821557764073</v>
      </c>
      <c r="C21" s="1">
        <f t="shared" si="42"/>
        <v>-6.7589107788820364</v>
      </c>
      <c r="D21" s="1">
        <f t="shared" si="42"/>
        <v>16.17430458982215</v>
      </c>
      <c r="E21" s="1">
        <f t="shared" si="42"/>
        <v>32.452065652487974</v>
      </c>
      <c r="F21" s="1">
        <f t="shared" si="42"/>
        <v>23.645478826834591</v>
      </c>
      <c r="G21" s="1">
        <f t="shared" si="42"/>
        <v>29.765660711217258</v>
      </c>
      <c r="H21" s="1">
        <f t="shared" si="42"/>
        <v>31.308185266191519</v>
      </c>
      <c r="I21" s="1">
        <f t="shared" si="42"/>
        <v>31.396328656836609</v>
      </c>
      <c r="J21" s="1">
        <f t="shared" ref="J21:Q21" si="43">IF(J3&lt;$BG$4,J19,J19*$BH$5)</f>
        <v>-7.6364058228126517</v>
      </c>
      <c r="K21" s="1">
        <f t="shared" si="43"/>
        <v>-7.6364058228126517</v>
      </c>
      <c r="L21" s="1">
        <f t="shared" si="43"/>
        <v>-0.95455072785158146</v>
      </c>
      <c r="M21" s="1">
        <f t="shared" si="43"/>
        <v>-0.13143819484560831</v>
      </c>
      <c r="N21" s="1">
        <f t="shared" si="43"/>
        <v>10.735737690102329</v>
      </c>
      <c r="O21" s="1">
        <f t="shared" si="43"/>
        <v>16.716407935360326</v>
      </c>
      <c r="P21" s="1">
        <f t="shared" si="43"/>
        <v>18.217647911267587</v>
      </c>
      <c r="Q21" s="1">
        <f t="shared" si="43"/>
        <v>18.302772593304116</v>
      </c>
      <c r="R21" s="1">
        <f t="shared" ref="R21:Y21" si="44">IF(R3&lt;$BG$4,R19,R19*$BI$5)</f>
        <v>-7.806581547872967</v>
      </c>
      <c r="S21" s="1">
        <f t="shared" si="44"/>
        <v>-3.9032907739364835</v>
      </c>
      <c r="T21" s="1">
        <f t="shared" si="44"/>
        <v>-1.1517382280373767</v>
      </c>
      <c r="U21" s="1">
        <f t="shared" si="44"/>
        <v>30.032272615095504</v>
      </c>
      <c r="V21" s="1">
        <f t="shared" si="44"/>
        <v>38.398981095812324</v>
      </c>
      <c r="W21" s="1">
        <f t="shared" si="44"/>
        <v>38.891471000627476</v>
      </c>
      <c r="X21" s="1">
        <f t="shared" si="44"/>
        <v>38.841939238249992</v>
      </c>
      <c r="Y21" s="1">
        <f t="shared" si="44"/>
        <v>38.841939238249992</v>
      </c>
      <c r="Z21" s="1">
        <f t="shared" ref="Z21:AG21" si="45">IF(Z3&lt;$BG$4,Z19,Z19*$BJ$5)</f>
        <v>-17.068147135972119</v>
      </c>
      <c r="AA21" s="1">
        <f t="shared" si="45"/>
        <v>-7.3149202011309074</v>
      </c>
      <c r="AB21" s="1">
        <f t="shared" si="45"/>
        <v>-7.6641748066709496</v>
      </c>
      <c r="AC21" s="1">
        <f t="shared" si="45"/>
        <v>25.053480113923023</v>
      </c>
      <c r="AD21" s="1">
        <f t="shared" si="45"/>
        <v>33.994117270131994</v>
      </c>
      <c r="AE21" s="1">
        <f t="shared" si="45"/>
        <v>34.563512703308334</v>
      </c>
      <c r="AF21" s="1">
        <f t="shared" si="45"/>
        <v>34.508477411777797</v>
      </c>
      <c r="AG21" s="1">
        <f t="shared" si="45"/>
        <v>34.508477411777797</v>
      </c>
      <c r="AH21" s="1">
        <f t="shared" ref="AH21:AO21" si="46">IF(AH3&lt;$BG$4,AH19,AH19*$BK$5)</f>
        <v>-3.1843031266477073</v>
      </c>
      <c r="AI21" s="1">
        <f t="shared" si="46"/>
        <v>-1.0614343755492359</v>
      </c>
      <c r="AJ21" s="1">
        <f t="shared" si="46"/>
        <v>-4.9289804030122619</v>
      </c>
      <c r="AK21" s="1">
        <f t="shared" si="46"/>
        <v>13.100505158262013</v>
      </c>
      <c r="AL21" s="1">
        <f t="shared" si="46"/>
        <v>22.997769011446188</v>
      </c>
      <c r="AM21" s="1">
        <f t="shared" si="46"/>
        <v>25.267980661375717</v>
      </c>
      <c r="AN21" s="1">
        <f t="shared" si="46"/>
        <v>25.361406663477915</v>
      </c>
      <c r="AO21" s="1">
        <f t="shared" si="46"/>
        <v>25.349791388804665</v>
      </c>
      <c r="AP21" s="1">
        <f t="shared" ref="AP21:AW21" si="47">IF(AP3&lt;$BG$4,AP19,AP19*$BL$5)</f>
        <v>-10.611284316972593</v>
      </c>
      <c r="AQ21" s="1">
        <f t="shared" si="47"/>
        <v>-10.611284316972593</v>
      </c>
      <c r="AR21" s="1">
        <f t="shared" si="47"/>
        <v>-1.2733541180367109</v>
      </c>
      <c r="AS21" s="1">
        <f t="shared" si="47"/>
        <v>17.055305337672465</v>
      </c>
      <c r="AT21" s="1">
        <f t="shared" si="47"/>
        <v>31.367258894619127</v>
      </c>
      <c r="AU21" s="1">
        <f t="shared" si="47"/>
        <v>32.4771937388673</v>
      </c>
      <c r="AV21" s="1">
        <f t="shared" si="47"/>
        <v>32.382063732585515</v>
      </c>
      <c r="AW21" s="1">
        <f t="shared" si="47"/>
        <v>32.382063732585515</v>
      </c>
      <c r="AX21" s="1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</row>
    <row r="22" spans="1:64" x14ac:dyDescent="0.3">
      <c r="A22" s="117" t="s">
        <v>114</v>
      </c>
      <c r="B22" s="1">
        <f t="shared" ref="B22:AW22" si="48">B21/((1+$AZ$13)^(B$3-2024))</f>
        <v>-12.777066186240162</v>
      </c>
      <c r="C22" s="1">
        <f t="shared" si="48"/>
        <v>-6.0384515223089243</v>
      </c>
      <c r="D22" s="1">
        <f t="shared" si="48"/>
        <v>13.658371562608243</v>
      </c>
      <c r="E22" s="1">
        <f t="shared" si="48"/>
        <v>25.902404841493588</v>
      </c>
      <c r="F22" s="1">
        <f t="shared" si="48"/>
        <v>17.838991117237271</v>
      </c>
      <c r="G22" s="1">
        <f t="shared" si="48"/>
        <v>21.225705710807038</v>
      </c>
      <c r="H22" s="1">
        <f t="shared" si="48"/>
        <v>21.102258647327041</v>
      </c>
      <c r="I22" s="1">
        <f t="shared" si="48"/>
        <v>20.002042632563793</v>
      </c>
      <c r="J22" s="1">
        <f t="shared" si="48"/>
        <v>-7.2179427880542173</v>
      </c>
      <c r="K22" s="1">
        <f t="shared" si="48"/>
        <v>-6.822410869782038</v>
      </c>
      <c r="L22" s="1">
        <f t="shared" si="48"/>
        <v>-0.80606918485751111</v>
      </c>
      <c r="M22" s="1">
        <f t="shared" si="48"/>
        <v>-0.1049105893900177</v>
      </c>
      <c r="N22" s="1">
        <f t="shared" si="48"/>
        <v>8.0994227561752794</v>
      </c>
      <c r="O22" s="1">
        <f t="shared" si="48"/>
        <v>11.920365511794063</v>
      </c>
      <c r="P22" s="1">
        <f t="shared" si="48"/>
        <v>12.279009942637606</v>
      </c>
      <c r="Q22" s="1">
        <f t="shared" si="48"/>
        <v>11.660370921288331</v>
      </c>
      <c r="R22" s="1">
        <f t="shared" si="48"/>
        <v>-7.3787931508952775</v>
      </c>
      <c r="S22" s="1">
        <f t="shared" si="48"/>
        <v>-3.4872234427970548</v>
      </c>
      <c r="T22" s="1">
        <f t="shared" si="48"/>
        <v>-0.97258392619200018</v>
      </c>
      <c r="U22" s="1">
        <f t="shared" si="48"/>
        <v>23.970988223569858</v>
      </c>
      <c r="V22" s="1">
        <f t="shared" si="48"/>
        <v>28.969558523034507</v>
      </c>
      <c r="W22" s="1">
        <f t="shared" si="48"/>
        <v>27.733263713800707</v>
      </c>
      <c r="X22" s="1">
        <f t="shared" si="48"/>
        <v>26.180139193644774</v>
      </c>
      <c r="Y22" s="1">
        <f t="shared" si="48"/>
        <v>24.745508720675002</v>
      </c>
      <c r="Z22" s="1">
        <f t="shared" si="48"/>
        <v>-16.132839503828535</v>
      </c>
      <c r="AA22" s="1">
        <f t="shared" si="48"/>
        <v>-6.535193682700652</v>
      </c>
      <c r="AB22" s="1">
        <f t="shared" si="48"/>
        <v>-6.4720029630308877</v>
      </c>
      <c r="AC22" s="1">
        <f t="shared" si="48"/>
        <v>19.997043995545809</v>
      </c>
      <c r="AD22" s="1">
        <f t="shared" si="48"/>
        <v>25.646372419068836</v>
      </c>
      <c r="AE22" s="1">
        <f t="shared" si="48"/>
        <v>24.647023833597999</v>
      </c>
      <c r="AF22" s="1">
        <f t="shared" si="48"/>
        <v>23.259310933461858</v>
      </c>
      <c r="AG22" s="1">
        <f t="shared" si="48"/>
        <v>21.984737257645669</v>
      </c>
      <c r="AH22" s="1">
        <f t="shared" si="48"/>
        <v>-3.009808320990957</v>
      </c>
      <c r="AI22" s="1">
        <f t="shared" si="48"/>
        <v>-0.94829185212686917</v>
      </c>
      <c r="AJ22" s="1">
        <f t="shared" si="48"/>
        <v>-4.1622714222606501</v>
      </c>
      <c r="AK22" s="1">
        <f t="shared" si="48"/>
        <v>10.456486556853807</v>
      </c>
      <c r="AL22" s="1">
        <f t="shared" si="48"/>
        <v>17.350335770992043</v>
      </c>
      <c r="AM22" s="1">
        <f t="shared" si="48"/>
        <v>18.018438314813114</v>
      </c>
      <c r="AN22" s="1">
        <f t="shared" si="48"/>
        <v>17.094026962037866</v>
      </c>
      <c r="AO22" s="1">
        <f t="shared" si="48"/>
        <v>16.149901271181236</v>
      </c>
      <c r="AP22" s="1">
        <f t="shared" si="48"/>
        <v>-10.02980261720491</v>
      </c>
      <c r="AQ22" s="1">
        <f t="shared" si="48"/>
        <v>-9.4801852005027456</v>
      </c>
      <c r="AR22" s="1">
        <f t="shared" si="48"/>
        <v>-1.0752823145093222</v>
      </c>
      <c r="AS22" s="1">
        <f t="shared" si="48"/>
        <v>13.613106428490466</v>
      </c>
      <c r="AT22" s="1">
        <f t="shared" si="48"/>
        <v>23.664576932067163</v>
      </c>
      <c r="AU22" s="1">
        <f t="shared" si="48"/>
        <v>23.159282883120365</v>
      </c>
      <c r="AV22" s="1">
        <f t="shared" si="48"/>
        <v>21.826071316792493</v>
      </c>
      <c r="AW22" s="1">
        <f t="shared" si="48"/>
        <v>20.630036918935545</v>
      </c>
      <c r="AX22" s="1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</row>
    <row r="23" spans="1:64" x14ac:dyDescent="0.3">
      <c r="A23" s="117" t="s">
        <v>119</v>
      </c>
      <c r="B23" s="1">
        <f>((I21*(1+$AZ$11))/($AZ$13-$AZ$11))/((1+$AZ$13)^(2032-2024))</f>
        <v>537.24489678361272</v>
      </c>
      <c r="C23" s="1"/>
      <c r="D23" s="1"/>
      <c r="E23" s="1"/>
      <c r="F23" s="1"/>
      <c r="G23" s="1"/>
      <c r="H23" s="1"/>
      <c r="I23" s="1"/>
      <c r="J23" s="1">
        <f>((Q21*(1+$AZ$11))/($AZ$13-$AZ$11))/((1+$AZ$13)^(2032-2024))</f>
        <v>313.19175181976055</v>
      </c>
      <c r="K23" s="1"/>
      <c r="L23" s="1"/>
      <c r="M23" s="1"/>
      <c r="N23" s="1"/>
      <c r="O23" s="1"/>
      <c r="P23" s="1"/>
      <c r="Q23" s="1"/>
      <c r="R23" s="1">
        <f>((Y21*(1+$AZ$11))/($AZ$13-$AZ$11))/((1+$AZ$13)^(2032-2024))</f>
        <v>664.65203193065088</v>
      </c>
      <c r="S23" s="1"/>
      <c r="T23" s="1"/>
      <c r="U23" s="1"/>
      <c r="V23" s="1"/>
      <c r="W23" s="1"/>
      <c r="X23" s="1"/>
      <c r="Y23" s="1"/>
      <c r="Z23" s="1">
        <f>((AG21*(1+$AZ$11))/($AZ$13-$AZ$11))/((1+$AZ$13)^(2032-2024))</f>
        <v>590.49908630680568</v>
      </c>
      <c r="AA23" s="1"/>
      <c r="AB23" s="1"/>
      <c r="AC23" s="1"/>
      <c r="AD23" s="1"/>
      <c r="AE23" s="1"/>
      <c r="AF23" s="1"/>
      <c r="AG23" s="1"/>
      <c r="AH23" s="1">
        <f>((AO21*(1+$AZ$11))/($AZ$13-$AZ$11))/((1+$AZ$13)^(2032-2024))</f>
        <v>433.77829959105446</v>
      </c>
      <c r="AI23" s="1"/>
      <c r="AJ23" s="1"/>
      <c r="AK23" s="1"/>
      <c r="AL23" s="1"/>
      <c r="AM23" s="1"/>
      <c r="AN23" s="1"/>
      <c r="AO23" s="1"/>
      <c r="AP23" s="1">
        <f>((AW21*(1+$AZ$11))/($AZ$13-$AZ$11))/((1+$AZ$13)^(2032-2024))</f>
        <v>554.11251034490067</v>
      </c>
      <c r="AQ23" s="1"/>
      <c r="AR23" s="1"/>
      <c r="AS23" s="1"/>
      <c r="AT23" s="1"/>
      <c r="AU23" s="1"/>
      <c r="AV23" s="1"/>
      <c r="AW23" s="1"/>
      <c r="AX23" s="1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</row>
    <row r="24" spans="1:64" s="5" customFormat="1" x14ac:dyDescent="0.3">
      <c r="A24" s="120" t="s">
        <v>120</v>
      </c>
      <c r="B24" s="5">
        <f>B23+SUM(B22:I22)</f>
        <v>638.1591535871006</v>
      </c>
      <c r="J24" s="5">
        <f>J23+SUM(J22:Q22)</f>
        <v>342.19958751957205</v>
      </c>
      <c r="R24" s="5">
        <f>R23+SUM(R22:Y22)</f>
        <v>784.41288978549142</v>
      </c>
      <c r="Z24" s="5">
        <f>Z23+SUM(Z22:AG22)</f>
        <v>676.8935385965658</v>
      </c>
      <c r="AH24" s="5">
        <f>AH23+SUM(AH22:AO22)</f>
        <v>504.72711687155402</v>
      </c>
      <c r="AP24" s="5">
        <f>AP23+SUM(AP22:AW22)</f>
        <v>636.42031469208973</v>
      </c>
    </row>
    <row r="25" spans="1:64" x14ac:dyDescent="0.3">
      <c r="A25" s="117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</row>
    <row r="26" spans="1:64" s="69" customFormat="1" x14ac:dyDescent="0.3">
      <c r="A26" s="117" t="s">
        <v>115</v>
      </c>
      <c r="B26" s="1">
        <f t="shared" ref="B26:I26" si="49">IF(B3&lt;$BG$4,B19,B19*$BG$6)</f>
        <v>-13.517821557764073</v>
      </c>
      <c r="C26" s="1">
        <f t="shared" si="49"/>
        <v>-6.7589107788820364</v>
      </c>
      <c r="D26" s="1">
        <f t="shared" si="49"/>
        <v>30.037994238241133</v>
      </c>
      <c r="E26" s="1">
        <f t="shared" si="49"/>
        <v>60.268121926049091</v>
      </c>
      <c r="F26" s="1">
        <f t="shared" si="49"/>
        <v>43.913032106978534</v>
      </c>
      <c r="G26" s="1">
        <f t="shared" si="49"/>
        <v>55.279084177974916</v>
      </c>
      <c r="H26" s="1">
        <f t="shared" si="49"/>
        <v>58.143772637212827</v>
      </c>
      <c r="I26" s="1">
        <f t="shared" si="49"/>
        <v>58.30746750555371</v>
      </c>
      <c r="J26" s="1">
        <f t="shared" ref="J26:Q26" si="50">IF(J3&lt;$BG$4,J19,J19*$BH$6)</f>
        <v>-7.6364058228126517</v>
      </c>
      <c r="K26" s="1">
        <f t="shared" si="50"/>
        <v>-7.6364058228126517</v>
      </c>
      <c r="L26" s="1">
        <f t="shared" si="50"/>
        <v>-2.1000116012734793</v>
      </c>
      <c r="M26" s="1">
        <f t="shared" si="50"/>
        <v>-0.2891640286603383</v>
      </c>
      <c r="N26" s="1">
        <f t="shared" si="50"/>
        <v>23.618622918225128</v>
      </c>
      <c r="O26" s="1">
        <f t="shared" si="50"/>
        <v>36.776097457792723</v>
      </c>
      <c r="P26" s="1">
        <f t="shared" si="50"/>
        <v>40.078825404788695</v>
      </c>
      <c r="Q26" s="1">
        <f t="shared" si="50"/>
        <v>40.266099705269056</v>
      </c>
      <c r="R26" s="1">
        <f t="shared" ref="R26:Y26" si="51">IF(R3&lt;$BG$4,R19,R19*$BI$6)</f>
        <v>-7.806581547872967</v>
      </c>
      <c r="S26" s="1">
        <f t="shared" si="51"/>
        <v>-3.9032907739364835</v>
      </c>
      <c r="T26" s="1">
        <f t="shared" si="51"/>
        <v>-1.7915927991692524</v>
      </c>
      <c r="U26" s="1">
        <f t="shared" si="51"/>
        <v>46.71686851237078</v>
      </c>
      <c r="V26" s="1">
        <f t="shared" si="51"/>
        <v>59.731748371263613</v>
      </c>
      <c r="W26" s="1">
        <f t="shared" si="51"/>
        <v>60.497843778753847</v>
      </c>
      <c r="X26" s="1">
        <f t="shared" si="51"/>
        <v>60.420794370611091</v>
      </c>
      <c r="Y26" s="1">
        <f t="shared" si="51"/>
        <v>60.420794370611091</v>
      </c>
      <c r="Z26" s="1">
        <f t="shared" ref="Z26:AG26" si="52">IF(Z3&lt;$BG$4,Z19,Z19*$BJ$6)</f>
        <v>-17.068147135972119</v>
      </c>
      <c r="AA26" s="1">
        <f t="shared" si="52"/>
        <v>-7.3149202011309074</v>
      </c>
      <c r="AB26" s="1">
        <f t="shared" si="52"/>
        <v>-13.412305911674162</v>
      </c>
      <c r="AC26" s="1">
        <f t="shared" si="52"/>
        <v>43.843590199365288</v>
      </c>
      <c r="AD26" s="1">
        <f t="shared" si="52"/>
        <v>59.489705222730983</v>
      </c>
      <c r="AE26" s="1">
        <f t="shared" si="52"/>
        <v>60.486147230789577</v>
      </c>
      <c r="AF26" s="1">
        <f t="shared" si="52"/>
        <v>60.389835470611139</v>
      </c>
      <c r="AG26" s="1">
        <f t="shared" si="52"/>
        <v>60.389835470611139</v>
      </c>
      <c r="AH26" s="1">
        <f t="shared" ref="AH26:AO26" si="53">IF(AH3&lt;$BG$4,AH19,AH19*$BK$6)</f>
        <v>-3.1843031266477073</v>
      </c>
      <c r="AI26" s="1">
        <f t="shared" si="53"/>
        <v>-1.0614343755492359</v>
      </c>
      <c r="AJ26" s="1">
        <f t="shared" si="53"/>
        <v>-6.5719738706830153</v>
      </c>
      <c r="AK26" s="1">
        <f t="shared" si="53"/>
        <v>17.467340211016015</v>
      </c>
      <c r="AL26" s="1">
        <f t="shared" si="53"/>
        <v>30.663692015261582</v>
      </c>
      <c r="AM26" s="1">
        <f t="shared" si="53"/>
        <v>33.690640881834284</v>
      </c>
      <c r="AN26" s="1">
        <f t="shared" si="53"/>
        <v>33.815208884637222</v>
      </c>
      <c r="AO26" s="1">
        <f t="shared" si="53"/>
        <v>33.799721851739555</v>
      </c>
      <c r="AP26" s="1">
        <f t="shared" ref="AP26:AW26" si="54">IF(AP3&lt;$BG$4,AP19,AP19*$BL$6)</f>
        <v>-10.611284316972593</v>
      </c>
      <c r="AQ26" s="1">
        <f t="shared" si="54"/>
        <v>-10.611284316972593</v>
      </c>
      <c r="AR26" s="1">
        <f t="shared" si="54"/>
        <v>-2.5467082360734219</v>
      </c>
      <c r="AS26" s="1">
        <f t="shared" si="54"/>
        <v>34.11061067534493</v>
      </c>
      <c r="AT26" s="1">
        <f t="shared" si="54"/>
        <v>62.734517789238254</v>
      </c>
      <c r="AU26" s="1">
        <f t="shared" si="54"/>
        <v>64.954387477734599</v>
      </c>
      <c r="AV26" s="1">
        <f t="shared" si="54"/>
        <v>64.764127465171029</v>
      </c>
      <c r="AW26" s="1">
        <f t="shared" si="54"/>
        <v>64.764127465171029</v>
      </c>
      <c r="AX26" s="1"/>
      <c r="BJ26"/>
    </row>
    <row r="27" spans="1:64" s="69" customFormat="1" x14ac:dyDescent="0.3">
      <c r="A27" s="117" t="s">
        <v>116</v>
      </c>
      <c r="B27" s="1">
        <f t="shared" ref="B27:AW27" si="55">B26/((1+$AZ$13)^(B$3-2024))</f>
        <v>-12.777066186240162</v>
      </c>
      <c r="C27" s="1">
        <f t="shared" si="55"/>
        <v>-6.0384515223089243</v>
      </c>
      <c r="D27" s="1">
        <f t="shared" si="55"/>
        <v>25.365547187701022</v>
      </c>
      <c r="E27" s="1">
        <f t="shared" si="55"/>
        <v>48.104466134202376</v>
      </c>
      <c r="F27" s="1">
        <f t="shared" si="55"/>
        <v>33.129554932012084</v>
      </c>
      <c r="G27" s="1">
        <f t="shared" si="55"/>
        <v>39.419167748641648</v>
      </c>
      <c r="H27" s="1">
        <f t="shared" si="55"/>
        <v>39.18990891646451</v>
      </c>
      <c r="I27" s="1">
        <f t="shared" si="55"/>
        <v>37.146650603332766</v>
      </c>
      <c r="J27" s="1">
        <f t="shared" si="55"/>
        <v>-7.2179427880542173</v>
      </c>
      <c r="K27" s="1">
        <f t="shared" si="55"/>
        <v>-6.822410869782038</v>
      </c>
      <c r="L27" s="1">
        <f t="shared" si="55"/>
        <v>-1.7733522066865246</v>
      </c>
      <c r="M27" s="1">
        <f t="shared" si="55"/>
        <v>-0.23080329665803895</v>
      </c>
      <c r="N27" s="1">
        <f t="shared" si="55"/>
        <v>17.818730063585619</v>
      </c>
      <c r="O27" s="1">
        <f t="shared" si="55"/>
        <v>26.224804125946946</v>
      </c>
      <c r="P27" s="1">
        <f t="shared" si="55"/>
        <v>27.013821873802733</v>
      </c>
      <c r="Q27" s="1">
        <f t="shared" si="55"/>
        <v>25.65281602683433</v>
      </c>
      <c r="R27" s="1">
        <f t="shared" si="55"/>
        <v>-7.3787931508952775</v>
      </c>
      <c r="S27" s="1">
        <f t="shared" si="55"/>
        <v>-3.4872234427970548</v>
      </c>
      <c r="T27" s="1">
        <f t="shared" si="55"/>
        <v>-1.5129083296320001</v>
      </c>
      <c r="U27" s="1">
        <f t="shared" si="55"/>
        <v>37.288203903330889</v>
      </c>
      <c r="V27" s="1">
        <f t="shared" si="55"/>
        <v>45.063757702498116</v>
      </c>
      <c r="W27" s="1">
        <f t="shared" si="55"/>
        <v>43.140632443689988</v>
      </c>
      <c r="X27" s="1">
        <f t="shared" si="55"/>
        <v>40.724660967891865</v>
      </c>
      <c r="Y27" s="1">
        <f t="shared" si="55"/>
        <v>38.493013565494444</v>
      </c>
      <c r="Z27" s="1">
        <f t="shared" si="55"/>
        <v>-16.132839503828535</v>
      </c>
      <c r="AA27" s="1">
        <f t="shared" si="55"/>
        <v>-6.535193682700652</v>
      </c>
      <c r="AB27" s="1">
        <f t="shared" si="55"/>
        <v>-11.326005185304053</v>
      </c>
      <c r="AC27" s="1">
        <f t="shared" si="55"/>
        <v>34.994826992205169</v>
      </c>
      <c r="AD27" s="1">
        <f t="shared" si="55"/>
        <v>44.881151733370459</v>
      </c>
      <c r="AE27" s="1">
        <f t="shared" si="55"/>
        <v>43.132291708796494</v>
      </c>
      <c r="AF27" s="1">
        <f t="shared" si="55"/>
        <v>40.703794133558247</v>
      </c>
      <c r="AG27" s="1">
        <f t="shared" si="55"/>
        <v>38.473290200879916</v>
      </c>
      <c r="AH27" s="1">
        <f t="shared" si="55"/>
        <v>-3.009808320990957</v>
      </c>
      <c r="AI27" s="1">
        <f t="shared" si="55"/>
        <v>-0.94829185212686917</v>
      </c>
      <c r="AJ27" s="1">
        <f t="shared" si="55"/>
        <v>-5.5496952296808661</v>
      </c>
      <c r="AK27" s="1">
        <f t="shared" si="55"/>
        <v>13.941982075805075</v>
      </c>
      <c r="AL27" s="1">
        <f t="shared" si="55"/>
        <v>23.133781027989386</v>
      </c>
      <c r="AM27" s="1">
        <f t="shared" si="55"/>
        <v>24.024584419750813</v>
      </c>
      <c r="AN27" s="1">
        <f t="shared" si="55"/>
        <v>22.792035949383823</v>
      </c>
      <c r="AO27" s="1">
        <f t="shared" si="55"/>
        <v>21.533201694908318</v>
      </c>
      <c r="AP27" s="1">
        <f t="shared" si="55"/>
        <v>-10.02980261720491</v>
      </c>
      <c r="AQ27" s="1">
        <f t="shared" si="55"/>
        <v>-9.4801852005027456</v>
      </c>
      <c r="AR27" s="1">
        <f t="shared" si="55"/>
        <v>-2.1505646290186444</v>
      </c>
      <c r="AS27" s="1">
        <f t="shared" si="55"/>
        <v>27.226212856980933</v>
      </c>
      <c r="AT27" s="1">
        <f t="shared" si="55"/>
        <v>47.329153864134327</v>
      </c>
      <c r="AU27" s="1">
        <f t="shared" si="55"/>
        <v>46.318565766240731</v>
      </c>
      <c r="AV27" s="1">
        <f t="shared" si="55"/>
        <v>43.652142633584987</v>
      </c>
      <c r="AW27" s="1">
        <f t="shared" si="55"/>
        <v>41.26007383787109</v>
      </c>
      <c r="AX27" s="1"/>
      <c r="BJ27"/>
    </row>
    <row r="28" spans="1:64" s="69" customFormat="1" x14ac:dyDescent="0.3">
      <c r="A28" s="117" t="s">
        <v>119</v>
      </c>
      <c r="B28" s="1">
        <f>((I26*(1+$AZ$11))/($AZ$13-$AZ$11))/((1+$AZ$13)^(2032-2024))</f>
        <v>997.74052259813811</v>
      </c>
      <c r="J28" s="1">
        <f>((Q26*(1+$AZ$11))/($AZ$13-$AZ$11))/((1+$AZ$13)^(2032-2024))</f>
        <v>689.02185400347321</v>
      </c>
      <c r="R28" s="1">
        <f>((Y26*(1+$AZ$11))/($AZ$13-$AZ$11))/((1+$AZ$13)^(2032-2024))</f>
        <v>1033.9031607810123</v>
      </c>
      <c r="Z28" s="1">
        <f>((AG26*(1+$AZ$11))/($AZ$13-$AZ$11))/((1+$AZ$13)^(2032-2024))</f>
        <v>1033.3734010369096</v>
      </c>
      <c r="AH28" s="1">
        <f>((AO26*(1+$AZ$11))/($AZ$13-$AZ$11))/((1+$AZ$13)^(2032-2024))</f>
        <v>578.37106612140599</v>
      </c>
      <c r="AP28" s="1">
        <f>((AW26*(1+$AZ$11))/($AZ$13-$AZ$11))/((1+$AZ$13)^(2032-2024))</f>
        <v>1108.2250206898013</v>
      </c>
      <c r="AX28" s="1"/>
    </row>
    <row r="29" spans="1:64" s="5" customFormat="1" x14ac:dyDescent="0.3">
      <c r="A29" s="120" t="s">
        <v>121</v>
      </c>
      <c r="B29" s="5">
        <f>B28+SUM(B27:I27)</f>
        <v>1201.2803004119435</v>
      </c>
      <c r="J29" s="5">
        <f>J28+SUM(J27:Q27)</f>
        <v>769.68751693246202</v>
      </c>
      <c r="R29" s="5">
        <f>R28+SUM(R27:Y27)</f>
        <v>1226.2345044405934</v>
      </c>
      <c r="Z29" s="5">
        <f>Z28+SUM(Z27:AG27)</f>
        <v>1201.5647174338867</v>
      </c>
      <c r="AH29" s="5">
        <f>AH28+SUM(AH27:AO27)</f>
        <v>674.28885588644471</v>
      </c>
      <c r="AP29" s="5">
        <f>AP28+SUM(AP27:AW27)</f>
        <v>1292.3506172018872</v>
      </c>
    </row>
    <row r="30" spans="1:64" s="69" customFormat="1" x14ac:dyDescent="0.3">
      <c r="A30" s="117"/>
      <c r="AX30" s="1"/>
    </row>
    <row r="31" spans="1:64" s="69" customFormat="1" x14ac:dyDescent="0.3">
      <c r="A31" s="113" t="s">
        <v>117</v>
      </c>
      <c r="B31" s="1">
        <f t="shared" ref="B31:I31" si="56">IF(B3&lt;$BG$4,B19,B19*$BG$7)</f>
        <v>-13.517821557764073</v>
      </c>
      <c r="C31" s="1">
        <f t="shared" si="56"/>
        <v>-6.7589107788820364</v>
      </c>
      <c r="D31" s="1">
        <f t="shared" si="56"/>
        <v>39.280454003853791</v>
      </c>
      <c r="E31" s="1">
        <f t="shared" si="56"/>
        <v>78.812159441756506</v>
      </c>
      <c r="F31" s="1">
        <f t="shared" si="56"/>
        <v>57.424734293741153</v>
      </c>
      <c r="G31" s="1">
        <f t="shared" si="56"/>
        <v>72.288033155813352</v>
      </c>
      <c r="H31" s="1">
        <f t="shared" si="56"/>
        <v>76.034164217893689</v>
      </c>
      <c r="I31" s="1">
        <f t="shared" si="56"/>
        <v>76.248226738031775</v>
      </c>
      <c r="J31" s="1">
        <f t="shared" ref="J31:Q31" si="57">IF(J3&lt;$BG$4,J19,J19*$BH$7)</f>
        <v>-7.6364058228126517</v>
      </c>
      <c r="K31" s="1">
        <f t="shared" si="57"/>
        <v>-7.6364058228126517</v>
      </c>
      <c r="L31" s="1">
        <f t="shared" si="57"/>
        <v>-2.8636521835547444</v>
      </c>
      <c r="M31" s="1">
        <f t="shared" si="57"/>
        <v>-0.39431458453682494</v>
      </c>
      <c r="N31" s="1">
        <f t="shared" si="57"/>
        <v>32.207213070306992</v>
      </c>
      <c r="O31" s="1">
        <f t="shared" si="57"/>
        <v>50.149223806080983</v>
      </c>
      <c r="P31" s="1">
        <f t="shared" si="57"/>
        <v>54.652943733802758</v>
      </c>
      <c r="Q31" s="1">
        <f t="shared" si="57"/>
        <v>54.908317779912352</v>
      </c>
      <c r="R31" s="1">
        <f t="shared" ref="R31:Y31" si="58">IF(R3&lt;$BG$4,R19,R19*$BI$7)</f>
        <v>-7.806581547872967</v>
      </c>
      <c r="S31" s="1">
        <f t="shared" si="58"/>
        <v>-3.9032907739364835</v>
      </c>
      <c r="T31" s="1">
        <f t="shared" si="58"/>
        <v>-2.175505541848378</v>
      </c>
      <c r="U31" s="1">
        <f t="shared" si="58"/>
        <v>56.72762605073595</v>
      </c>
      <c r="V31" s="1">
        <f t="shared" si="58"/>
        <v>72.531408736534388</v>
      </c>
      <c r="W31" s="1">
        <f t="shared" si="58"/>
        <v>73.461667445629672</v>
      </c>
      <c r="X31" s="1">
        <f t="shared" si="58"/>
        <v>73.368107450027765</v>
      </c>
      <c r="Y31" s="1">
        <f t="shared" si="58"/>
        <v>73.368107450027765</v>
      </c>
      <c r="Z31" s="1">
        <f t="shared" ref="Z31:AG31" si="59">IF(Z3&lt;$BG$4,Z19,Z19*$BJ$7)</f>
        <v>-17.068147135972119</v>
      </c>
      <c r="AA31" s="1">
        <f t="shared" si="59"/>
        <v>-7.3149202011309074</v>
      </c>
      <c r="AB31" s="1">
        <f t="shared" si="59"/>
        <v>-16.286371464175769</v>
      </c>
      <c r="AC31" s="1">
        <f t="shared" si="59"/>
        <v>53.23864524208642</v>
      </c>
      <c r="AD31" s="1">
        <f t="shared" si="59"/>
        <v>72.237499199030481</v>
      </c>
      <c r="AE31" s="1">
        <f t="shared" si="59"/>
        <v>73.447464494530209</v>
      </c>
      <c r="AF31" s="1">
        <f t="shared" si="59"/>
        <v>73.330514500027817</v>
      </c>
      <c r="AG31" s="1">
        <f t="shared" si="59"/>
        <v>73.330514500027817</v>
      </c>
      <c r="AH31" s="1">
        <f t="shared" ref="AH31:AO31" si="60">IF(AH3&lt;$BG$4,AH19,AH19*$BK$7)</f>
        <v>-3.1843031266477073</v>
      </c>
      <c r="AI31" s="1">
        <f t="shared" si="60"/>
        <v>-1.0614343755492359</v>
      </c>
      <c r="AJ31" s="1">
        <f t="shared" si="60"/>
        <v>-8.2149673383537696</v>
      </c>
      <c r="AK31" s="1">
        <f t="shared" si="60"/>
        <v>21.834175263770021</v>
      </c>
      <c r="AL31" s="1">
        <f t="shared" si="60"/>
        <v>38.329615019076982</v>
      </c>
      <c r="AM31" s="1">
        <f t="shared" si="60"/>
        <v>42.113301102292859</v>
      </c>
      <c r="AN31" s="1">
        <f t="shared" si="60"/>
        <v>42.269011105796523</v>
      </c>
      <c r="AO31" s="1">
        <f t="shared" si="60"/>
        <v>42.249652314674442</v>
      </c>
      <c r="AP31" s="1">
        <f t="shared" ref="AP31:AW31" si="61">IF(AP3&lt;$BG$4,AP19,AP19*$BL$7)</f>
        <v>-10.611284316972593</v>
      </c>
      <c r="AQ31" s="1">
        <f t="shared" si="61"/>
        <v>-10.611284316972593</v>
      </c>
      <c r="AR31" s="1">
        <f t="shared" si="61"/>
        <v>-3.3956109814312292</v>
      </c>
      <c r="AS31" s="1">
        <f t="shared" si="61"/>
        <v>45.48081423379324</v>
      </c>
      <c r="AT31" s="1">
        <f t="shared" si="61"/>
        <v>83.646023718984338</v>
      </c>
      <c r="AU31" s="1">
        <f t="shared" si="61"/>
        <v>86.605849970312804</v>
      </c>
      <c r="AV31" s="1">
        <f t="shared" si="61"/>
        <v>86.352169953561386</v>
      </c>
      <c r="AW31" s="1">
        <f t="shared" si="61"/>
        <v>86.352169953561386</v>
      </c>
      <c r="AX31" s="1"/>
    </row>
    <row r="32" spans="1:64" x14ac:dyDescent="0.3">
      <c r="A32" s="117" t="s">
        <v>118</v>
      </c>
      <c r="B32" s="1">
        <f t="shared" ref="B32:AW32" si="62">B31/((1+$AZ$13)^(B$3-2024))</f>
        <v>-12.777066186240162</v>
      </c>
      <c r="C32" s="1">
        <f t="shared" si="62"/>
        <v>-6.0384515223089243</v>
      </c>
      <c r="D32" s="1">
        <f t="shared" si="62"/>
        <v>33.170330937762877</v>
      </c>
      <c r="E32" s="1">
        <f t="shared" si="62"/>
        <v>62.905840329341572</v>
      </c>
      <c r="F32" s="1">
        <f t="shared" si="62"/>
        <v>43.323264141861948</v>
      </c>
      <c r="G32" s="1">
        <f t="shared" si="62"/>
        <v>51.548142440531386</v>
      </c>
      <c r="H32" s="1">
        <f t="shared" si="62"/>
        <v>51.248342429222816</v>
      </c>
      <c r="I32" s="1">
        <f t="shared" si="62"/>
        <v>48.576389250512079</v>
      </c>
      <c r="J32" s="1">
        <f t="shared" si="62"/>
        <v>-7.2179427880542173</v>
      </c>
      <c r="K32" s="1">
        <f t="shared" si="62"/>
        <v>-6.822410869782038</v>
      </c>
      <c r="L32" s="1">
        <f t="shared" si="62"/>
        <v>-2.4182075545725334</v>
      </c>
      <c r="M32" s="1">
        <f t="shared" si="62"/>
        <v>-0.31473176817005311</v>
      </c>
      <c r="N32" s="1">
        <f t="shared" si="62"/>
        <v>24.298268268525842</v>
      </c>
      <c r="O32" s="1">
        <f t="shared" si="62"/>
        <v>35.761096535382194</v>
      </c>
      <c r="P32" s="1">
        <f t="shared" si="62"/>
        <v>36.837029827912815</v>
      </c>
      <c r="Q32" s="1">
        <f t="shared" si="62"/>
        <v>34.981112763864999</v>
      </c>
      <c r="R32" s="1">
        <f t="shared" si="62"/>
        <v>-7.3787931508952775</v>
      </c>
      <c r="S32" s="1">
        <f t="shared" si="62"/>
        <v>-3.4872234427970548</v>
      </c>
      <c r="T32" s="1">
        <f t="shared" si="62"/>
        <v>-1.8371029716960001</v>
      </c>
      <c r="U32" s="1">
        <f t="shared" si="62"/>
        <v>45.278533311187509</v>
      </c>
      <c r="V32" s="1">
        <f t="shared" si="62"/>
        <v>54.720277210176285</v>
      </c>
      <c r="W32" s="1">
        <f t="shared" si="62"/>
        <v>52.385053681623553</v>
      </c>
      <c r="X32" s="1">
        <f t="shared" si="62"/>
        <v>49.451374032440128</v>
      </c>
      <c r="Y32" s="1">
        <f t="shared" si="62"/>
        <v>46.741516472386117</v>
      </c>
      <c r="Z32" s="1">
        <f t="shared" si="62"/>
        <v>-16.132839503828535</v>
      </c>
      <c r="AA32" s="1">
        <f t="shared" si="62"/>
        <v>-6.535193682700652</v>
      </c>
      <c r="AB32" s="1">
        <f t="shared" si="62"/>
        <v>-13.753006296440637</v>
      </c>
      <c r="AC32" s="1">
        <f t="shared" si="62"/>
        <v>42.493718490534846</v>
      </c>
      <c r="AD32" s="1">
        <f t="shared" si="62"/>
        <v>54.498541390521268</v>
      </c>
      <c r="AE32" s="1">
        <f t="shared" si="62"/>
        <v>52.374925646395745</v>
      </c>
      <c r="AF32" s="1">
        <f t="shared" si="62"/>
        <v>49.426035733606447</v>
      </c>
      <c r="AG32" s="1">
        <f t="shared" si="62"/>
        <v>46.717566672497043</v>
      </c>
      <c r="AH32" s="1">
        <f t="shared" si="62"/>
        <v>-3.009808320990957</v>
      </c>
      <c r="AI32" s="1">
        <f t="shared" si="62"/>
        <v>-0.94829185212686917</v>
      </c>
      <c r="AJ32" s="1">
        <f t="shared" si="62"/>
        <v>-6.9371190371010831</v>
      </c>
      <c r="AK32" s="1">
        <f t="shared" si="62"/>
        <v>17.427477594756347</v>
      </c>
      <c r="AL32" s="1">
        <f t="shared" si="62"/>
        <v>28.917226284986739</v>
      </c>
      <c r="AM32" s="1">
        <f t="shared" si="62"/>
        <v>30.030730524688519</v>
      </c>
      <c r="AN32" s="1">
        <f t="shared" si="62"/>
        <v>28.490044936729774</v>
      </c>
      <c r="AO32" s="1">
        <f t="shared" si="62"/>
        <v>26.916502118635396</v>
      </c>
      <c r="AP32" s="1">
        <f t="shared" si="62"/>
        <v>-10.02980261720491</v>
      </c>
      <c r="AQ32" s="1">
        <f t="shared" si="62"/>
        <v>-9.4801852005027456</v>
      </c>
      <c r="AR32" s="1">
        <f t="shared" si="62"/>
        <v>-2.8674195053581926</v>
      </c>
      <c r="AS32" s="1">
        <f t="shared" si="62"/>
        <v>36.301617142641241</v>
      </c>
      <c r="AT32" s="1">
        <f t="shared" si="62"/>
        <v>63.10553848551244</v>
      </c>
      <c r="AU32" s="1">
        <f t="shared" si="62"/>
        <v>61.758087688320984</v>
      </c>
      <c r="AV32" s="1">
        <f t="shared" si="62"/>
        <v>58.202856844779987</v>
      </c>
      <c r="AW32" s="1">
        <f t="shared" si="62"/>
        <v>55.013431783828132</v>
      </c>
      <c r="AX32" s="1"/>
      <c r="BE32" s="93"/>
      <c r="BF32" s="93"/>
      <c r="BG32" s="93"/>
      <c r="BH32" s="93"/>
      <c r="BI32" s="93"/>
    </row>
    <row r="33" spans="1:61" s="69" customFormat="1" x14ac:dyDescent="0.3">
      <c r="A33" s="117" t="s">
        <v>119</v>
      </c>
      <c r="B33" s="1">
        <f>((I31*(1+$AZ$11))/($AZ$13-$AZ$11))/((1+$AZ$13)^(2032-2024))</f>
        <v>1304.7376064744883</v>
      </c>
      <c r="C33" s="5"/>
      <c r="D33" s="5"/>
      <c r="E33" s="5"/>
      <c r="F33" s="5"/>
      <c r="G33" s="5"/>
      <c r="H33" s="5"/>
      <c r="I33" s="5"/>
      <c r="J33" s="1">
        <f>((Q31*(1+$AZ$11))/($AZ$13-$AZ$11))/((1+$AZ$13)^(2032-2024))</f>
        <v>939.57525545928161</v>
      </c>
      <c r="K33" s="5"/>
      <c r="L33" s="5"/>
      <c r="M33" s="5"/>
      <c r="N33" s="5"/>
      <c r="O33" s="5"/>
      <c r="P33" s="5"/>
      <c r="Q33" s="5"/>
      <c r="R33" s="1">
        <f>((Y31*(1+$AZ$11))/($AZ$13-$AZ$11))/((1+$AZ$13)^(2032-2024))</f>
        <v>1255.4538380912295</v>
      </c>
      <c r="S33" s="5"/>
      <c r="T33" s="5"/>
      <c r="U33" s="5"/>
      <c r="V33" s="5"/>
      <c r="W33" s="5"/>
      <c r="X33" s="5"/>
      <c r="Y33" s="5"/>
      <c r="Z33" s="1">
        <f>((AG31*(1+$AZ$11))/($AZ$13-$AZ$11))/((1+$AZ$13)^(2032-2024))</f>
        <v>1254.810558401962</v>
      </c>
      <c r="AA33" s="5"/>
      <c r="AB33" s="5"/>
      <c r="AC33" s="5"/>
      <c r="AD33" s="5"/>
      <c r="AE33" s="5"/>
      <c r="AF33" s="5"/>
      <c r="AG33" s="5"/>
      <c r="AH33" s="1">
        <f>((AO31*(1+$AZ$11))/($AZ$13-$AZ$11))/((1+$AZ$13)^(2032-2024))</f>
        <v>722.96383265175734</v>
      </c>
      <c r="AI33" s="5"/>
      <c r="AJ33" s="5"/>
      <c r="AK33" s="5"/>
      <c r="AL33" s="5"/>
      <c r="AM33" s="5"/>
      <c r="AN33" s="5"/>
      <c r="AO33" s="5"/>
      <c r="AP33" s="1">
        <f>((AW31*(1+$AZ$11))/($AZ$13-$AZ$11))/((1+$AZ$13)^(2032-2024))</f>
        <v>1477.6333609197352</v>
      </c>
      <c r="AQ33" s="5"/>
      <c r="AR33" s="5"/>
      <c r="AS33" s="5"/>
      <c r="AT33" s="5"/>
      <c r="AU33" s="5"/>
      <c r="AV33" s="5"/>
      <c r="AW33" s="5"/>
      <c r="AX33" s="1"/>
    </row>
    <row r="34" spans="1:61" s="5" customFormat="1" x14ac:dyDescent="0.3">
      <c r="A34" s="120" t="s">
        <v>122</v>
      </c>
      <c r="B34" s="5">
        <f>B33+SUM(B32:I32)</f>
        <v>1576.694398295172</v>
      </c>
      <c r="J34" s="5">
        <f>J33+SUM(J32:Q32)</f>
        <v>1054.6794698743886</v>
      </c>
      <c r="R34" s="5">
        <f>R33+SUM(R32:Y32)</f>
        <v>1491.3274732336547</v>
      </c>
      <c r="Z34" s="5">
        <f>Z33+SUM(Z32:AG32)</f>
        <v>1463.9003068525476</v>
      </c>
      <c r="AH34" s="5">
        <f>AH33+SUM(AH32:AO32)</f>
        <v>843.85059490133517</v>
      </c>
      <c r="AP34" s="5">
        <f>AP33+SUM(AP32:AW32)</f>
        <v>1729.6374855417521</v>
      </c>
    </row>
    <row r="35" spans="1:61" s="3" customFormat="1" x14ac:dyDescent="0.3">
      <c r="A35" s="11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5"/>
      <c r="BE35" s="74"/>
      <c r="BF35" s="74"/>
      <c r="BG35" s="74"/>
      <c r="BH35" s="74"/>
      <c r="BI35" s="74"/>
    </row>
    <row r="36" spans="1:61" s="3" customFormat="1" x14ac:dyDescent="0.3">
      <c r="A36" s="116" t="s">
        <v>123</v>
      </c>
      <c r="B36" s="5">
        <f>(B34*0.2)+(B29*0.6)+(B24*0.2)</f>
        <v>1163.7388906236206</v>
      </c>
      <c r="C36" s="5"/>
      <c r="D36" s="5"/>
      <c r="E36" s="5"/>
      <c r="F36" s="5"/>
      <c r="G36" s="5"/>
      <c r="H36" s="5"/>
      <c r="I36" s="5"/>
      <c r="J36" s="5">
        <f t="shared" ref="J36:AP36" si="63">(J34*0.2)+(J29*0.6)+(J24*0.2)</f>
        <v>741.18832163826937</v>
      </c>
      <c r="K36" s="5"/>
      <c r="L36" s="5"/>
      <c r="M36" s="5"/>
      <c r="N36" s="5"/>
      <c r="O36" s="5"/>
      <c r="P36" s="5"/>
      <c r="Q36" s="5"/>
      <c r="R36" s="5">
        <f t="shared" si="63"/>
        <v>1190.8887752681853</v>
      </c>
      <c r="S36" s="5"/>
      <c r="T36" s="5"/>
      <c r="U36" s="5"/>
      <c r="V36" s="5"/>
      <c r="W36" s="5"/>
      <c r="X36" s="5"/>
      <c r="Y36" s="5"/>
      <c r="Z36" s="5">
        <f t="shared" si="63"/>
        <v>1149.0975995501547</v>
      </c>
      <c r="AA36" s="5"/>
      <c r="AB36" s="5"/>
      <c r="AC36" s="5"/>
      <c r="AD36" s="5"/>
      <c r="AE36" s="5"/>
      <c r="AF36" s="5"/>
      <c r="AG36" s="5"/>
      <c r="AH36" s="5">
        <f t="shared" si="63"/>
        <v>674.28885588644471</v>
      </c>
      <c r="AI36" s="5"/>
      <c r="AJ36" s="5"/>
      <c r="AK36" s="5"/>
      <c r="AL36" s="5"/>
      <c r="AM36" s="5"/>
      <c r="AN36" s="5"/>
      <c r="AO36" s="5"/>
      <c r="AP36" s="5">
        <f t="shared" si="63"/>
        <v>1248.6219303679006</v>
      </c>
      <c r="AQ36" s="5"/>
      <c r="AR36" s="5"/>
      <c r="AS36" s="5"/>
      <c r="AT36" s="5"/>
      <c r="AU36" s="5"/>
      <c r="AV36" s="5"/>
      <c r="AW36" s="5"/>
      <c r="AX36" s="5"/>
      <c r="BE36" s="74"/>
      <c r="BF36" s="74"/>
      <c r="BG36" s="74"/>
      <c r="BH36" s="74"/>
      <c r="BI36" s="74"/>
    </row>
    <row r="37" spans="1:61" s="69" customFormat="1" x14ac:dyDescent="0.3">
      <c r="A37" s="117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BC37"/>
      <c r="BD37"/>
    </row>
    <row r="38" spans="1:61" x14ac:dyDescent="0.3">
      <c r="A38" s="121" t="s">
        <v>124</v>
      </c>
      <c r="B38" s="110" t="s">
        <v>125</v>
      </c>
      <c r="G38" s="1"/>
      <c r="H38" s="1" t="s">
        <v>50</v>
      </c>
      <c r="I38" s="1"/>
      <c r="J38" s="1"/>
      <c r="K38" s="1"/>
      <c r="L38" s="1"/>
      <c r="M38" s="1"/>
      <c r="N38" s="1" t="s">
        <v>52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61" x14ac:dyDescent="0.3">
      <c r="A39" s="121" t="s">
        <v>126</v>
      </c>
      <c r="B39" s="110">
        <f>SOTP!H19</f>
        <v>9168.0634995460532</v>
      </c>
      <c r="G39" s="1"/>
      <c r="H39" s="1">
        <f>SOTP!B19</f>
        <v>4886.8167262570896</v>
      </c>
      <c r="I39" s="1"/>
      <c r="J39" s="1"/>
      <c r="K39" s="1"/>
      <c r="L39" s="1"/>
      <c r="M39" s="1"/>
      <c r="N39" s="1">
        <f>SOTP!N19</f>
        <v>6903.4711455820134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61" x14ac:dyDescent="0.3">
      <c r="A40" s="121" t="s">
        <v>127</v>
      </c>
      <c r="B40" s="110">
        <f>B36+J36</f>
        <v>1904.92721226189</v>
      </c>
      <c r="G40" s="1"/>
      <c r="H40" s="1">
        <f>R36+Z36</f>
        <v>2339.9863748183398</v>
      </c>
      <c r="I40" s="1"/>
      <c r="J40" s="1"/>
      <c r="K40" s="1"/>
      <c r="L40" s="1"/>
      <c r="M40" s="1"/>
      <c r="N40" s="1">
        <f>AH36+AP36</f>
        <v>1922.9107862543453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61" x14ac:dyDescent="0.3">
      <c r="A41" s="118" t="s">
        <v>128</v>
      </c>
      <c r="B41" s="5">
        <f>B40+B39</f>
        <v>11072.990711807943</v>
      </c>
      <c r="G41" s="1"/>
      <c r="H41" s="5">
        <f>H40+H39</f>
        <v>7226.8031010754294</v>
      </c>
      <c r="I41" s="1"/>
      <c r="J41" s="1"/>
      <c r="K41" s="1"/>
      <c r="L41" s="1"/>
      <c r="M41" s="1"/>
      <c r="N41" s="5">
        <f>N40+N39</f>
        <v>8826.3819318363585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BC41" s="69"/>
      <c r="BD41" s="69"/>
      <c r="BE41" s="69"/>
      <c r="BF41" s="69"/>
      <c r="BG41" s="69"/>
      <c r="BH41" s="69"/>
      <c r="BI41" s="69"/>
    </row>
    <row r="42" spans="1:61" x14ac:dyDescent="0.3">
      <c r="B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BC42" s="69"/>
      <c r="BD42" s="69"/>
      <c r="BE42" s="69"/>
      <c r="BF42" s="69"/>
      <c r="BG42" s="69"/>
      <c r="BH42" s="69"/>
      <c r="BI42" s="69"/>
    </row>
    <row r="43" spans="1:61" x14ac:dyDescent="0.3">
      <c r="B43" s="26">
        <f>B41</f>
        <v>11072.990711807943</v>
      </c>
      <c r="C43" s="25">
        <f>D43-0.005</f>
        <v>4.797538814674393E-2</v>
      </c>
      <c r="D43" s="25">
        <f>E43-0.005</f>
        <v>5.2975388146743928E-2</v>
      </c>
      <c r="E43" s="25">
        <v>5.7975388146743925E-2</v>
      </c>
      <c r="F43" s="25">
        <f>E43+0.005</f>
        <v>6.297538814674393E-2</v>
      </c>
      <c r="G43" s="25">
        <f>F43+0.005</f>
        <v>6.7975388146743934E-2</v>
      </c>
      <c r="H43" s="26">
        <f>H41</f>
        <v>7226.8031010754294</v>
      </c>
      <c r="I43" s="25">
        <f>J43-0.005</f>
        <v>4.797538814674393E-2</v>
      </c>
      <c r="J43" s="25">
        <f>K43-0.005</f>
        <v>5.2975388146743928E-2</v>
      </c>
      <c r="K43" s="25">
        <v>5.7975388146743925E-2</v>
      </c>
      <c r="L43" s="25">
        <f>K43+0.005</f>
        <v>6.297538814674393E-2</v>
      </c>
      <c r="M43" s="25">
        <f>L43+0.005</f>
        <v>6.7975388146743934E-2</v>
      </c>
      <c r="N43" s="26">
        <f>N41</f>
        <v>8826.3819318363585</v>
      </c>
      <c r="O43" s="25">
        <f>P43-0.005</f>
        <v>4.797538814674393E-2</v>
      </c>
      <c r="P43" s="25">
        <f>Q43-0.005</f>
        <v>5.2975388146743928E-2</v>
      </c>
      <c r="Q43" s="25">
        <v>5.7975388146743925E-2</v>
      </c>
      <c r="R43" s="25">
        <f>Q43+0.005</f>
        <v>6.297538814674393E-2</v>
      </c>
      <c r="S43" s="25">
        <f>R43+0.005</f>
        <v>6.7975388146743934E-2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BC43" s="69"/>
      <c r="BD43" s="69"/>
      <c r="BE43" s="69"/>
      <c r="BF43" s="69"/>
      <c r="BG43" s="69"/>
      <c r="BH43" s="69"/>
      <c r="BI43" s="69"/>
    </row>
    <row r="44" spans="1:61" x14ac:dyDescent="0.3">
      <c r="B44" s="25">
        <f>B45-0.005</f>
        <v>9.9999999999999985E-3</v>
      </c>
      <c r="C44" s="13">
        <f t="dataTable" ref="C44:G48" dt2D="1" dtr="1" r1="AZ13" r2="AZ11" ca="1"/>
        <v>11118.377691827194</v>
      </c>
      <c r="D44" s="13">
        <v>10860.49337183597</v>
      </c>
      <c r="E44" s="13">
        <v>10656.955927558789</v>
      </c>
      <c r="F44" s="13">
        <v>10492.362077913112</v>
      </c>
      <c r="G44" s="15">
        <v>10356.622732138192</v>
      </c>
      <c r="H44" s="25">
        <f>H45-0.005</f>
        <v>9.9999999999999985E-3</v>
      </c>
      <c r="I44" s="13">
        <f t="dataTable" ref="I44:M48" dt2D="1" dtr="1" r1="AZ13" r2="AZ11" ca="1"/>
        <v>7302.4011572013587</v>
      </c>
      <c r="J44" s="13">
        <v>6984.0066721545991</v>
      </c>
      <c r="K44" s="13">
        <v>6732.6204458592129</v>
      </c>
      <c r="L44" s="13">
        <v>6529.2552440681393</v>
      </c>
      <c r="M44" s="15">
        <v>6361.4742877044318</v>
      </c>
      <c r="N44" s="25">
        <f>N45-0.005</f>
        <v>9.9999999999999985E-3</v>
      </c>
      <c r="O44" s="13">
        <f t="dataTable" ref="O44:S48" dt2D="1" dtr="1" r1="AZ13" r2="AZ11" ca="1"/>
        <v>8877.3581369220265</v>
      </c>
      <c r="P44" s="13">
        <v>8615.7042197992323</v>
      </c>
      <c r="Q44" s="13">
        <v>8409.182780614643</v>
      </c>
      <c r="R44" s="13">
        <v>8242.1693757992853</v>
      </c>
      <c r="S44" s="15">
        <v>8104.429961761276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BC44" s="69"/>
      <c r="BD44" s="69"/>
      <c r="BE44" s="69"/>
      <c r="BF44" s="69"/>
      <c r="BG44" s="69"/>
      <c r="BH44" s="69"/>
      <c r="BI44" s="69"/>
    </row>
    <row r="45" spans="1:61" x14ac:dyDescent="0.3">
      <c r="B45" s="25">
        <f>B46-0.005</f>
        <v>1.4999999999999999E-2</v>
      </c>
      <c r="C45" s="13">
        <v>11428.114530603794</v>
      </c>
      <c r="D45" s="22">
        <v>11095.483603676441</v>
      </c>
      <c r="E45" s="24">
        <v>10840.909297243456</v>
      </c>
      <c r="F45" s="17">
        <v>10639.970224396413</v>
      </c>
      <c r="G45" s="15">
        <v>10477.465384816915</v>
      </c>
      <c r="H45" s="25">
        <f>H46-0.005</f>
        <v>1.4999999999999999E-2</v>
      </c>
      <c r="I45" s="13">
        <v>7673.0269200765306</v>
      </c>
      <c r="J45" s="22">
        <v>7264.2141926432232</v>
      </c>
      <c r="K45" s="24">
        <v>6951.2283550562915</v>
      </c>
      <c r="L45" s="17">
        <v>6704.0936017619315</v>
      </c>
      <c r="M45" s="15">
        <v>6504.1513629518231</v>
      </c>
      <c r="N45" s="25">
        <f>N46-0.005</f>
        <v>1.4999999999999999E-2</v>
      </c>
      <c r="O45" s="13">
        <v>9188.642873417426</v>
      </c>
      <c r="P45" s="22">
        <v>8851.6412279278338</v>
      </c>
      <c r="Q45" s="24">
        <v>8593.7090741642351</v>
      </c>
      <c r="R45" s="17">
        <v>8390.1099212008976</v>
      </c>
      <c r="S45" s="15">
        <v>8225.4465263262209</v>
      </c>
      <c r="AX45" s="1"/>
      <c r="BC45" s="69"/>
      <c r="BD45" s="69"/>
      <c r="BE45" s="69"/>
      <c r="BF45" s="69"/>
      <c r="BG45" s="69"/>
      <c r="BH45" s="69"/>
      <c r="BI45" s="69"/>
    </row>
    <row r="46" spans="1:61" x14ac:dyDescent="0.3">
      <c r="B46" s="25">
        <v>0.02</v>
      </c>
      <c r="C46" s="13">
        <v>11848.105414338406</v>
      </c>
      <c r="D46" s="23">
        <v>11401.360142161899</v>
      </c>
      <c r="E46" s="12">
        <v>11072.990711807943</v>
      </c>
      <c r="F46" s="18">
        <v>10821.66189697464</v>
      </c>
      <c r="G46" s="15">
        <v>10623.270838377532</v>
      </c>
      <c r="H46" s="25">
        <v>0.02</v>
      </c>
      <c r="I46" s="13">
        <v>8175.258054481581</v>
      </c>
      <c r="J46" s="23">
        <v>7628.679977501326</v>
      </c>
      <c r="K46" s="12">
        <v>7226.8031010754294</v>
      </c>
      <c r="L46" s="18">
        <v>6919.1059623289457</v>
      </c>
      <c r="M46" s="15">
        <v>6676.1288641761867</v>
      </c>
      <c r="N46" s="25">
        <v>0.02</v>
      </c>
      <c r="O46" s="13">
        <v>9610.5414039996722</v>
      </c>
      <c r="P46" s="23">
        <v>9158.5934535277938</v>
      </c>
      <c r="Q46" s="12">
        <v>8826.3819318363585</v>
      </c>
      <c r="R46" s="18">
        <v>8572.0986737638486</v>
      </c>
      <c r="S46" s="15">
        <v>8371.3649207717262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BC46" s="69"/>
      <c r="BD46" s="69"/>
      <c r="BE46" s="69"/>
      <c r="BF46" s="69"/>
      <c r="BG46" s="69"/>
      <c r="BH46" s="69"/>
      <c r="BI46" s="69"/>
    </row>
    <row r="47" spans="1:61" x14ac:dyDescent="0.3">
      <c r="B47" s="25">
        <f>B46+0.005</f>
        <v>2.5000000000000001E-2</v>
      </c>
      <c r="C47" s="13">
        <v>12450.312566236762</v>
      </c>
      <c r="D47" s="20">
        <v>11816.115698100621</v>
      </c>
      <c r="E47" s="21">
        <v>11375.080221692491</v>
      </c>
      <c r="F47" s="19">
        <v>11050.889255876475</v>
      </c>
      <c r="G47" s="15">
        <v>10802.743032038665</v>
      </c>
      <c r="H47" s="25">
        <f>H46+0.005</f>
        <v>2.5000000000000001E-2</v>
      </c>
      <c r="I47" s="13">
        <v>8894.9922656599319</v>
      </c>
      <c r="J47" s="20">
        <v>8122.5632143311514</v>
      </c>
      <c r="K47" s="21">
        <v>7585.242573951763</v>
      </c>
      <c r="L47" s="19">
        <v>7190.1478155887053</v>
      </c>
      <c r="M47" s="15">
        <v>6887.6226849664072</v>
      </c>
      <c r="N47" s="25">
        <f>N46+0.005</f>
        <v>2.5000000000000001E-2</v>
      </c>
      <c r="O47" s="13">
        <v>10215.242977987762</v>
      </c>
      <c r="P47" s="20">
        <v>9574.6164593842823</v>
      </c>
      <c r="Q47" s="21">
        <v>9129.0846537627076</v>
      </c>
      <c r="R47" s="19">
        <v>8801.5694705978603</v>
      </c>
      <c r="S47" s="15">
        <v>8550.8640430416017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BC47" s="69"/>
      <c r="BD47" s="69"/>
      <c r="BE47" s="69"/>
      <c r="BF47" s="69"/>
      <c r="BG47" s="69"/>
      <c r="BH47" s="69"/>
      <c r="BI47" s="69"/>
    </row>
    <row r="48" spans="1:61" x14ac:dyDescent="0.3">
      <c r="B48" s="25">
        <f>B47+0.005</f>
        <v>3.0000000000000002E-2</v>
      </c>
      <c r="C48" s="14">
        <v>13386.765365928144</v>
      </c>
      <c r="D48" s="14">
        <v>12410.815252242381</v>
      </c>
      <c r="E48" s="14">
        <v>11784.700030025984</v>
      </c>
      <c r="F48" s="14">
        <v>11349.263205017338</v>
      </c>
      <c r="G48" s="16">
        <v>11029.169757073147</v>
      </c>
      <c r="H48" s="25">
        <f>H47+0.005</f>
        <v>3.0000000000000002E-2</v>
      </c>
      <c r="I48" s="14">
        <v>10013.699559370187</v>
      </c>
      <c r="J48" s="14">
        <v>8830.333810645021</v>
      </c>
      <c r="K48" s="14">
        <v>8070.9592698373153</v>
      </c>
      <c r="L48" s="14">
        <v>7542.6910802867742</v>
      </c>
      <c r="M48" s="16">
        <v>7154.2288807201594</v>
      </c>
      <c r="N48" s="25">
        <f>N47+0.005</f>
        <v>3.0000000000000002E-2</v>
      </c>
      <c r="O48" s="14">
        <v>11155.256406756984</v>
      </c>
      <c r="P48" s="14">
        <v>10170.892643818694</v>
      </c>
      <c r="Q48" s="14">
        <v>9539.3448974922485</v>
      </c>
      <c r="R48" s="14">
        <v>9100.1036804700216</v>
      </c>
      <c r="S48" s="16">
        <v>8777.1933706387463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BC48" s="69"/>
      <c r="BD48" s="69"/>
      <c r="BE48" s="69"/>
      <c r="BF48" s="69"/>
      <c r="BG48" s="69"/>
      <c r="BH48" s="69"/>
      <c r="BI48" s="69"/>
    </row>
    <row r="49" spans="1:61" x14ac:dyDescent="0.3"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BC49" s="69"/>
      <c r="BD49" s="69"/>
      <c r="BE49" s="69"/>
      <c r="BF49" s="69"/>
      <c r="BG49" s="69"/>
      <c r="BH49" s="69"/>
      <c r="BI49" s="69"/>
    </row>
    <row r="50" spans="1:61" x14ac:dyDescent="0.3">
      <c r="B50" s="111" t="s">
        <v>23</v>
      </c>
      <c r="C50" t="str">
        <f>Scenario</f>
        <v>Bull</v>
      </c>
      <c r="D50" s="111" t="s">
        <v>39</v>
      </c>
      <c r="E50" s="112">
        <f>B41</f>
        <v>11072.990711807943</v>
      </c>
      <c r="F50" s="69"/>
      <c r="G50" s="69"/>
      <c r="H50" s="69"/>
      <c r="I50" s="69"/>
      <c r="J50" s="111" t="s">
        <v>39</v>
      </c>
      <c r="K50" s="112">
        <f>H41</f>
        <v>7226.8031010754294</v>
      </c>
      <c r="L50" s="69"/>
      <c r="M50" s="69"/>
      <c r="N50" s="69"/>
      <c r="O50" s="69"/>
      <c r="P50" s="111" t="s">
        <v>39</v>
      </c>
      <c r="Q50" s="112">
        <f>N41</f>
        <v>8826.3819318363585</v>
      </c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BC50" s="69"/>
      <c r="BD50" s="69"/>
      <c r="BE50" s="69"/>
      <c r="BF50" s="69"/>
      <c r="BG50" s="69"/>
      <c r="BH50" s="69"/>
      <c r="BI50" s="69"/>
    </row>
    <row r="51" spans="1:61" x14ac:dyDescent="0.3"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BC51" s="69"/>
      <c r="BD51" s="69"/>
      <c r="BE51" s="69"/>
      <c r="BF51" s="69"/>
      <c r="BG51" s="69"/>
      <c r="BH51" s="69"/>
      <c r="BI51" s="69"/>
    </row>
    <row r="52" spans="1:61" x14ac:dyDescent="0.3">
      <c r="A52" s="113" t="s">
        <v>24</v>
      </c>
      <c r="B52" s="111">
        <f>SOTP!B31</f>
        <v>2986</v>
      </c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BC52" s="69"/>
      <c r="BD52" s="69"/>
      <c r="BE52" s="69"/>
      <c r="BF52" s="69"/>
      <c r="BG52" s="69"/>
      <c r="BH52" s="69"/>
      <c r="BI52" s="69"/>
    </row>
    <row r="53" spans="1:61" x14ac:dyDescent="0.3">
      <c r="A53" s="113" t="s">
        <v>64</v>
      </c>
      <c r="B53" s="111">
        <f>E50+K50+Q50-B52</f>
        <v>24140.175744719731</v>
      </c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BC53" s="69"/>
      <c r="BD53" s="69"/>
      <c r="BE53" s="69"/>
      <c r="BF53" s="69"/>
      <c r="BG53" s="69"/>
      <c r="BH53" s="69"/>
      <c r="BI53" s="69"/>
    </row>
    <row r="54" spans="1:61" x14ac:dyDescent="0.3">
      <c r="A54" s="113" t="s">
        <v>55</v>
      </c>
      <c r="B54" s="125">
        <f>B53/DCF!B36</f>
        <v>27.557278247396951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BC54" s="69"/>
      <c r="BD54" s="69"/>
      <c r="BE54" s="69"/>
      <c r="BF54" s="69"/>
      <c r="BG54" s="69"/>
      <c r="BH54" s="69"/>
      <c r="BI54" s="69"/>
    </row>
    <row r="55" spans="1:61" x14ac:dyDescent="0.3">
      <c r="A55" s="113" t="s">
        <v>65</v>
      </c>
      <c r="B55" s="125">
        <f>B54*2</f>
        <v>55.114556494793902</v>
      </c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BC55" s="69"/>
      <c r="BD55" s="69"/>
      <c r="BE55" s="69"/>
      <c r="BF55" s="69"/>
      <c r="BG55" s="69"/>
      <c r="BH55" s="69"/>
      <c r="BI55" s="69"/>
    </row>
    <row r="56" spans="1:61" x14ac:dyDescent="0.3">
      <c r="A56" s="113" t="s">
        <v>66</v>
      </c>
      <c r="B56" s="125">
        <f>SOTP!B35</f>
        <v>36.82</v>
      </c>
    </row>
    <row r="57" spans="1:61" x14ac:dyDescent="0.3">
      <c r="A57" s="113" t="s">
        <v>21</v>
      </c>
      <c r="B57" s="125">
        <f>B55-B56</f>
        <v>18.294556494793902</v>
      </c>
      <c r="C57" s="10">
        <f>B57/B56</f>
        <v>0.49686465222145304</v>
      </c>
    </row>
  </sheetData>
  <dataValidations disablePrompts="1" count="1">
    <dataValidation type="list" allowBlank="1" showInputMessage="1" showErrorMessage="1" sqref="A1" xr:uid="{F1E1D105-F2F7-426A-8922-A67C35E3F034}">
      <formula1>$AY$7:$AY$9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DCF</vt:lpstr>
      <vt:lpstr>SOTP</vt:lpstr>
      <vt:lpstr>rNPV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Davis</dc:creator>
  <cp:lastModifiedBy>Xavier Davis</cp:lastModifiedBy>
  <dcterms:created xsi:type="dcterms:W3CDTF">2025-10-30T14:24:16Z</dcterms:created>
  <dcterms:modified xsi:type="dcterms:W3CDTF">2025-11-17T14:09:22Z</dcterms:modified>
</cp:coreProperties>
</file>