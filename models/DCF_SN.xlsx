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893" documentId="8_{4CAA811A-3924-48A6-9DA9-F0A76AB10370}" xr6:coauthVersionLast="47" xr6:coauthVersionMax="47" xr10:uidLastSave="{15FDC869-F90E-4B72-97D0-1F30F5275BC7}"/>
  <bookViews>
    <workbookView xWindow="-108" yWindow="-108" windowWidth="23256" windowHeight="12456" activeTab="1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" i="3" l="1"/>
  <c r="Z13" i="3" s="1"/>
  <c r="Y8" i="3"/>
  <c r="Y13" i="3" s="1"/>
  <c r="X8" i="3"/>
  <c r="X13" i="3" s="1"/>
  <c r="Z7" i="3"/>
  <c r="Z5" i="3"/>
  <c r="Z2" i="3"/>
  <c r="Y7" i="3"/>
  <c r="Y5" i="3"/>
  <c r="Y2" i="3"/>
  <c r="Y4" i="3" s="1"/>
  <c r="X7" i="3"/>
  <c r="X5" i="3"/>
  <c r="X2" i="3"/>
  <c r="M3" i="3"/>
  <c r="M6" i="3" s="1"/>
  <c r="N3" i="3"/>
  <c r="N6" i="3" s="1"/>
  <c r="O3" i="3"/>
  <c r="O6" i="3" s="1"/>
  <c r="P3" i="3"/>
  <c r="P4" i="3" s="1"/>
  <c r="P5" i="3" s="1"/>
  <c r="L3" i="3"/>
  <c r="L6" i="3" s="1"/>
  <c r="H3" i="3"/>
  <c r="H4" i="3" s="1"/>
  <c r="H5" i="3" s="1"/>
  <c r="I3" i="3"/>
  <c r="J3" i="3"/>
  <c r="K3" i="3"/>
  <c r="K6" i="3" s="1"/>
  <c r="G3" i="3"/>
  <c r="G4" i="3" s="1"/>
  <c r="G5" i="3" s="1"/>
  <c r="C3" i="3"/>
  <c r="C6" i="3" s="1"/>
  <c r="D3" i="3"/>
  <c r="D6" i="3" s="1"/>
  <c r="E3" i="3"/>
  <c r="F3" i="3"/>
  <c r="F6" i="3" s="1"/>
  <c r="B3" i="3"/>
  <c r="B4" i="3" s="1"/>
  <c r="G33" i="2"/>
  <c r="G32" i="2"/>
  <c r="G29" i="2"/>
  <c r="G30" i="2"/>
  <c r="I35" i="2"/>
  <c r="L35" i="2" s="1"/>
  <c r="K28" i="2"/>
  <c r="L28" i="2" s="1"/>
  <c r="I28" i="2"/>
  <c r="H28" i="2"/>
  <c r="D29" i="2"/>
  <c r="B29" i="2"/>
  <c r="I8" i="2"/>
  <c r="I13" i="2" s="1"/>
  <c r="D4" i="3" l="1"/>
  <c r="D5" i="3" s="1"/>
  <c r="D7" i="3" s="1"/>
  <c r="D8" i="3" s="1"/>
  <c r="X4" i="3"/>
  <c r="Z4" i="3"/>
  <c r="C4" i="3"/>
  <c r="C5" i="3" s="1"/>
  <c r="C7" i="3" s="1"/>
  <c r="C8" i="3" s="1"/>
  <c r="O4" i="3"/>
  <c r="O5" i="3" s="1"/>
  <c r="O7" i="3" s="1"/>
  <c r="O8" i="3" s="1"/>
  <c r="B6" i="3"/>
  <c r="I6" i="3"/>
  <c r="P6" i="3"/>
  <c r="P7" i="3" s="1"/>
  <c r="P8" i="3" s="1"/>
  <c r="J6" i="3"/>
  <c r="M4" i="3"/>
  <c r="M5" i="3" s="1"/>
  <c r="M7" i="3" s="1"/>
  <c r="M8" i="3" s="1"/>
  <c r="J4" i="3"/>
  <c r="J5" i="3" s="1"/>
  <c r="J7" i="3" s="1"/>
  <c r="J8" i="3" s="1"/>
  <c r="B5" i="3"/>
  <c r="E6" i="3"/>
  <c r="H6" i="3"/>
  <c r="H7" i="3" s="1"/>
  <c r="H8" i="3" s="1"/>
  <c r="N4" i="3"/>
  <c r="N5" i="3" s="1"/>
  <c r="N7" i="3" s="1"/>
  <c r="N8" i="3" s="1"/>
  <c r="K4" i="3"/>
  <c r="K5" i="3" s="1"/>
  <c r="K7" i="3" s="1"/>
  <c r="K8" i="3" s="1"/>
  <c r="I4" i="3"/>
  <c r="I5" i="3" s="1"/>
  <c r="I7" i="3" s="1"/>
  <c r="I8" i="3" s="1"/>
  <c r="G6" i="3"/>
  <c r="G7" i="3" s="1"/>
  <c r="G8" i="3" s="1"/>
  <c r="F4" i="3"/>
  <c r="F5" i="3" s="1"/>
  <c r="F7" i="3" s="1"/>
  <c r="F8" i="3" s="1"/>
  <c r="E4" i="3"/>
  <c r="E5" i="3" s="1"/>
  <c r="L4" i="3"/>
  <c r="L5" i="3" s="1"/>
  <c r="L7" i="3" s="1"/>
  <c r="L8" i="3" s="1"/>
  <c r="B34" i="2"/>
  <c r="B36" i="2" s="1"/>
  <c r="J36" i="2" s="1"/>
  <c r="J37" i="2" s="1"/>
  <c r="K37" i="2" s="1"/>
  <c r="I23" i="2"/>
  <c r="B20" i="2"/>
  <c r="B24" i="2"/>
  <c r="B23" i="2"/>
  <c r="B22" i="2"/>
  <c r="B21" i="2"/>
  <c r="B19" i="2"/>
  <c r="B18" i="2"/>
  <c r="B17" i="2"/>
  <c r="B16" i="2"/>
  <c r="B15" i="2"/>
  <c r="E7" i="3" l="1"/>
  <c r="E8" i="3" s="1"/>
  <c r="B7" i="3"/>
  <c r="B8" i="3" s="1"/>
  <c r="B25" i="2"/>
  <c r="L23" i="2" s="1"/>
  <c r="J24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J25" i="2" l="1"/>
  <c r="K25" i="2" s="1"/>
  <c r="I4" i="2"/>
  <c r="F5" i="2"/>
  <c r="E5" i="2"/>
  <c r="B5" i="2"/>
  <c r="D5" i="2" l="1"/>
  <c r="F3" i="2"/>
  <c r="D3" i="2"/>
  <c r="E3" i="2"/>
  <c r="C3" i="2"/>
  <c r="B3" i="2"/>
  <c r="C5" i="2"/>
  <c r="B4" i="2" l="1"/>
  <c r="B7" i="2" s="1"/>
  <c r="B8" i="2" s="1"/>
  <c r="C4" i="2" l="1"/>
  <c r="C7" i="2" s="1"/>
  <c r="C8" i="2" s="1"/>
  <c r="D4" i="2" l="1"/>
  <c r="D7" i="2" s="1"/>
  <c r="D8" i="2" s="1"/>
  <c r="E4" i="2" l="1"/>
  <c r="E7" i="2" s="1"/>
  <c r="E8" i="2" s="1"/>
  <c r="F4" i="2"/>
  <c r="D11" i="2" s="1"/>
  <c r="F7" i="2" l="1"/>
  <c r="B11" i="2" s="1"/>
  <c r="F8" i="2"/>
  <c r="D12" i="2" s="1"/>
  <c r="D26" i="2" l="1"/>
  <c r="D28" i="2" s="1"/>
  <c r="D30" i="2" s="1"/>
  <c r="E30" i="2" s="1"/>
  <c r="G28" i="2"/>
  <c r="B12" i="2"/>
  <c r="G16" i="2" s="1"/>
  <c r="B26" i="2" l="1"/>
  <c r="B28" i="2" l="1"/>
  <c r="B30" i="2" s="1"/>
  <c r="C30" i="2" s="1"/>
</calcChain>
</file>

<file path=xl/sharedStrings.xml><?xml version="1.0" encoding="utf-8"?>
<sst xmlns="http://schemas.openxmlformats.org/spreadsheetml/2006/main" count="98" uniqueCount="77">
  <si>
    <t>FY</t>
  </si>
  <si>
    <t>Tax Rate</t>
  </si>
  <si>
    <t>WACC</t>
  </si>
  <si>
    <t>EBIT</t>
  </si>
  <si>
    <t>Depreciation and Amortisation</t>
  </si>
  <si>
    <t>Capital Expenditure</t>
  </si>
  <si>
    <t>Change in Operating Working Capital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</si>
  <si>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</si>
  <si>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</si>
  <si>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</si>
  <si>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</si>
  <si>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</si>
  <si>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</si>
  <si>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</si>
  <si>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</si>
  <si>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</si>
  <si>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</si>
  <si>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</si>
  <si>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</si>
  <si>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</si>
  <si>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</si>
  <si>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EV per Share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</si>
  <si>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</si>
  <si>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</si>
  <si>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</si>
  <si>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</si>
  <si>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</si>
  <si>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</si>
  <si>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</si>
  <si>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</si>
  <si>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</si>
  <si>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</si>
  <si>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</si>
  <si>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</si>
  <si>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</si>
  <si>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</si>
  <si>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</si>
  <si>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</si>
  <si>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</si>
  <si>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</si>
  <si>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</si>
  <si>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</si>
  <si>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</si>
  <si>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</si>
  <si>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</si>
  <si>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EV Per Share: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</si>
  <si>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</si>
  <si>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</si>
  <si>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</si>
  <si>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</si>
  <si>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</si>
  <si>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</si>
  <si>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</si>
  <si>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</si>
  <si>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</si>
  <si>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</si>
  <si>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</si>
  <si>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Cost of Revenue</t>
  </si>
  <si>
    <t>Gross Profit</t>
  </si>
  <si>
    <t>OpEx</t>
  </si>
  <si>
    <t>Total</t>
  </si>
  <si>
    <t>O</t>
  </si>
  <si>
    <t>SM&amp;E</t>
  </si>
  <si>
    <t>AW</t>
  </si>
  <si>
    <t>Net Operating Profit after Tax</t>
  </si>
  <si>
    <t>tranche up debt</t>
  </si>
  <si>
    <t xml:space="preserve">tranche up equity </t>
  </si>
  <si>
    <t>find fcf</t>
  </si>
  <si>
    <t>discount fcf</t>
  </si>
  <si>
    <t>tv + pv of tv</t>
  </si>
  <si>
    <t>individual Enterprise values</t>
  </si>
  <si>
    <t xml:space="preserve">sum less net debt for overall </t>
  </si>
  <si>
    <t>three scenario models</t>
  </si>
  <si>
    <t>code these locations into the viewer</t>
  </si>
  <si>
    <t>add note that viewer can't see them differently</t>
  </si>
  <si>
    <t>Debt Portion: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</si>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</sst>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\(0\);\-"/>
    <numFmt numFmtId="165" formatCode="[Color10]0.00%;[Red]\(0.00\)%;\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</cellStyleXfs>
  <cellXfs count="53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1" fontId="4" fillId="3" borderId="2" xfId="2" applyNumberFormat="1" applyFont="1" applyFill="1" applyBorder="1"/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0" fillId="2" borderId="1" xfId="1" applyFont="1" applyAlignment="1">
      <alignment horizontal="centerContinuous"/>
    </xf>
    <xf numFmtId="0" fontId="9" fillId="3" borderId="0" xfId="0" applyFont="1" applyFill="1" applyAlignment="1">
      <alignment horizontal="centerContinuous"/>
    </xf>
    <xf numFmtId="164" fontId="0" fillId="2" borderId="0" xfId="1" applyNumberFormat="1" applyFont="1" applyBorder="1"/>
    <xf numFmtId="164" fontId="2" fillId="2" borderId="0" xfId="1" applyNumberFormat="1" applyFont="1" applyBorder="1"/>
    <xf numFmtId="164" fontId="0" fillId="0" borderId="9" xfId="0" applyNumberForma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0" fontId="0" fillId="2" borderId="0" xfId="1" applyFont="1" applyBorder="1" applyAlignment="1">
      <alignment horizontal="right"/>
    </xf>
    <xf numFmtId="0" fontId="7" fillId="0" borderId="4" xfId="0" applyFont="1" applyBorder="1"/>
  </cellXfs>
  <cellStyles count="5">
    <cellStyle name="Bad" xfId="4" builtinId="27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8"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</row>
        <row r="24">
          <cell r="F24">
            <v>873</v>
          </cell>
        </row>
        <row r="25">
          <cell r="H25">
            <v>876</v>
          </cell>
        </row>
        <row r="39"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1">
          <cell r="F41">
            <v>1375</v>
          </cell>
        </row>
        <row r="44">
          <cell r="G44">
            <v>2413.6991302341535</v>
          </cell>
          <cell r="H44">
            <v>2527.5242912334529</v>
          </cell>
          <cell r="I44">
            <v>2646.7172162238094</v>
          </cell>
          <cell r="J44">
            <v>2771.5310380803335</v>
          </cell>
          <cell r="K44">
            <v>2902.230826911697</v>
          </cell>
        </row>
        <row r="45">
          <cell r="G45">
            <v>1972.7566005307594</v>
          </cell>
          <cell r="H45">
            <v>2133.6450684965343</v>
          </cell>
          <cell r="I45">
            <v>2307.6548202118656</v>
          </cell>
          <cell r="J45">
            <v>2495.8559639909986</v>
          </cell>
          <cell r="K45">
            <v>2699.405880996329</v>
          </cell>
        </row>
        <row r="46">
          <cell r="G46">
            <v>1789.1296699937484</v>
          </cell>
          <cell r="H46">
            <v>1904.2147388768226</v>
          </cell>
          <cell r="I46">
            <v>2026.7026099725886</v>
          </cell>
          <cell r="J46">
            <v>2157.0694656488554</v>
          </cell>
          <cell r="K46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workbookViewId="0">
      <pane xSplit="1" topLeftCell="B1" activePane="topRight" state="frozen"/>
      <selection pane="topRight" activeCell="A34" sqref="A34:A36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1093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1">
        <f>'[1]Income Statement'!G8</f>
        <v>865.81174197145447</v>
      </c>
      <c r="C2" s="1">
        <f>'[1]Income Statement'!H8</f>
        <v>920.46118290715049</v>
      </c>
      <c r="D2" s="1">
        <f>'[1]Income Statement'!I8</f>
        <v>978.74063885457053</v>
      </c>
      <c r="E2" s="1">
        <f>'[1]Income Statement'!J8</f>
        <v>1040.9023874430359</v>
      </c>
      <c r="F2" s="1">
        <f>'[1]Income Statement'!K8</f>
        <v>1107.2169098036211</v>
      </c>
      <c r="H2" s="34" t="s">
        <v>1</v>
      </c>
      <c r="I2" s="8">
        <f>'[1]Balance Sheet'!$N$7</f>
        <v>0.10567499999999999</v>
      </c>
      <c r="O2" t="s">
        <v>24</v>
      </c>
    </row>
    <row r="3" spans="1:15" x14ac:dyDescent="0.3">
      <c r="A3" s="47" t="s">
        <v>8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4" t="s">
        <v>16</v>
      </c>
      <c r="I3" s="8">
        <v>4.1000000000000002E-2</v>
      </c>
      <c r="O3" t="s">
        <v>39</v>
      </c>
    </row>
    <row r="4" spans="1:15" x14ac:dyDescent="0.3">
      <c r="A4" s="28" t="s">
        <v>4</v>
      </c>
      <c r="B4" s="1">
        <f>'[1]Income Statement'!G39</f>
        <v>474.10524395977473</v>
      </c>
      <c r="C4" s="1">
        <f>'[1]Income Statement'!H39</f>
        <v>504.03044047892519</v>
      </c>
      <c r="D4" s="1">
        <f>'[1]Income Statement'!I39</f>
        <v>535.94337759950497</v>
      </c>
      <c r="E4" s="1">
        <f>'[1]Income Statement'!J39</f>
        <v>569.98219868593901</v>
      </c>
      <c r="F4" s="1">
        <f>'[1]Income Statement'!K39</f>
        <v>606.29501506130021</v>
      </c>
      <c r="H4" s="34" t="s">
        <v>2</v>
      </c>
      <c r="I4" s="8">
        <f>(I5*(1-I2)*(I6/(I6+I8)))+(I7*(I7/(I7+I5)))</f>
        <v>4.0402449812245597E-2</v>
      </c>
      <c r="O4" t="s">
        <v>38</v>
      </c>
    </row>
    <row r="5" spans="1:15" x14ac:dyDescent="0.3">
      <c r="A5" s="28" t="s">
        <v>5</v>
      </c>
      <c r="B5" s="1">
        <f>'[1]Balance Sheet'!G53</f>
        <v>-477.50310262561572</v>
      </c>
      <c r="C5" s="1">
        <f>'[1]Balance Sheet'!H53</f>
        <v>-507.64276964391172</v>
      </c>
      <c r="D5" s="1">
        <f>'[1]Balance Sheet'!I53</f>
        <v>-539.78442317572933</v>
      </c>
      <c r="E5" s="1">
        <f>'[1]Balance Sheet'!J53</f>
        <v>-574.06719664336379</v>
      </c>
      <c r="F5" s="1">
        <f>'[1]Balance Sheet'!K53</f>
        <v>-610.64026286698993</v>
      </c>
      <c r="H5" s="34" t="s">
        <v>9</v>
      </c>
      <c r="I5" s="8">
        <f>0.056</f>
        <v>5.6000000000000001E-2</v>
      </c>
    </row>
    <row r="6" spans="1:15" x14ac:dyDescent="0.3">
      <c r="A6" s="28" t="s">
        <v>6</v>
      </c>
      <c r="B6" s="1">
        <f>-'[1]Balance Sheet'!$G$52</f>
        <v>-149.35645811619816</v>
      </c>
      <c r="C6" s="1">
        <f>-'[1]Balance Sheet'!$G$52</f>
        <v>-149.35645811619816</v>
      </c>
      <c r="D6" s="1">
        <f>-'[1]Balance Sheet'!$G$52</f>
        <v>-149.35645811619816</v>
      </c>
      <c r="E6" s="1">
        <f>-'[1]Balance Sheet'!$G$52</f>
        <v>-149.35645811619816</v>
      </c>
      <c r="F6" s="1">
        <f>-'[1]Balance Sheet'!$G$52</f>
        <v>-149.35645811619816</v>
      </c>
      <c r="H6" s="34" t="s">
        <v>10</v>
      </c>
      <c r="I6" s="2">
        <f>'[1]Balance Sheet'!$F$49</f>
        <v>2986</v>
      </c>
    </row>
    <row r="7" spans="1:15" x14ac:dyDescent="0.3">
      <c r="A7" s="48" t="s">
        <v>7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4" t="s">
        <v>11</v>
      </c>
      <c r="I7" s="8">
        <f>I3+(I10*I11)</f>
        <v>6.6460000000000005E-2</v>
      </c>
    </row>
    <row r="8" spans="1:15" x14ac:dyDescent="0.3">
      <c r="A8" s="28" t="s">
        <v>18</v>
      </c>
      <c r="B8" s="1">
        <f>B7/((1+DCF!$I$4)^(DCF!B1-2024))</f>
        <v>597.42532273809161</v>
      </c>
      <c r="C8" s="1">
        <f>C7/((1+DCF!$I$4)^(DCF!C1-2024))</f>
        <v>619.17922302818999</v>
      </c>
      <c r="D8" s="1">
        <f>D7/((1+DCF!$I$4)^(DCF!D1-2024))</f>
        <v>641.21267480518929</v>
      </c>
      <c r="E8" s="1">
        <f>E7/((1+DCF!$I$4)^(DCF!E1-2024))</f>
        <v>663.55142245628178</v>
      </c>
      <c r="F8" s="1">
        <f>F7/((1+DCF!$I$4)^(DCF!F1-2024))</f>
        <v>686.22152382874856</v>
      </c>
      <c r="H8" s="34" t="s">
        <v>12</v>
      </c>
      <c r="I8" s="7">
        <f>I9*'[1]Income Statement'!$H$25</f>
        <v>31518.479999999996</v>
      </c>
    </row>
    <row r="9" spans="1:15" x14ac:dyDescent="0.3">
      <c r="A9" s="28"/>
      <c r="B9" s="1"/>
      <c r="C9" s="1"/>
      <c r="D9" s="1"/>
      <c r="E9" s="1"/>
      <c r="F9" s="1"/>
      <c r="H9" s="34" t="s">
        <v>13</v>
      </c>
      <c r="I9" s="2">
        <v>35.979999999999997</v>
      </c>
    </row>
    <row r="10" spans="1:15" x14ac:dyDescent="0.3">
      <c r="A10" s="28"/>
      <c r="B10" s="11" t="s">
        <v>48</v>
      </c>
      <c r="D10" s="29" t="s">
        <v>49</v>
      </c>
      <c r="H10" s="34" t="s">
        <v>14</v>
      </c>
      <c r="I10" s="2">
        <v>0.67</v>
      </c>
    </row>
    <row r="11" spans="1:15" x14ac:dyDescent="0.3">
      <c r="A11" s="47" t="s">
        <v>47</v>
      </c>
      <c r="B11" s="5">
        <f>((F7*(1+DCF!I12))/(DCF!I4-DCF!I12))/((1+I4)^5)</f>
        <v>34306.956309002388</v>
      </c>
      <c r="D11" s="5">
        <f>((F2+F4)*I13)/((1+I4)^5)</f>
        <v>32221.28582646788</v>
      </c>
      <c r="H11" s="34" t="s">
        <v>15</v>
      </c>
      <c r="I11" s="8">
        <v>3.7999999999999999E-2</v>
      </c>
    </row>
    <row r="12" spans="1:15" x14ac:dyDescent="0.3">
      <c r="A12" s="47" t="s">
        <v>19</v>
      </c>
      <c r="B12" s="5">
        <f>SUM(B8:F8)+B11</f>
        <v>37514.546475858886</v>
      </c>
      <c r="D12" s="5">
        <f>SUM(B8:F8)+D11</f>
        <v>35428.875993324378</v>
      </c>
      <c r="H12" s="34" t="s">
        <v>17</v>
      </c>
      <c r="I12" s="8">
        <v>0.02</v>
      </c>
    </row>
    <row r="13" spans="1:15" x14ac:dyDescent="0.3">
      <c r="A13" s="3"/>
      <c r="B13" s="5"/>
      <c r="H13" s="34" t="s">
        <v>51</v>
      </c>
      <c r="I13" s="31">
        <f>I8/'[1]Income Statement'!$F$41</f>
        <v>22.922530909090906</v>
      </c>
    </row>
    <row r="14" spans="1:15" x14ac:dyDescent="0.3">
      <c r="A14" s="11" t="s">
        <v>27</v>
      </c>
      <c r="B14" s="5"/>
    </row>
    <row r="15" spans="1:15" x14ac:dyDescent="0.3">
      <c r="A15" s="28" t="s">
        <v>28</v>
      </c>
      <c r="B15" s="1">
        <f>'[1]Balance Sheet'!$F$22</f>
        <v>2</v>
      </c>
      <c r="G15" s="32" t="s">
        <v>50</v>
      </c>
      <c r="H15" s="30"/>
      <c r="I15" s="30"/>
      <c r="J15" s="30"/>
      <c r="K15" s="30"/>
      <c r="L15" s="30"/>
    </row>
    <row r="16" spans="1:15" x14ac:dyDescent="0.3">
      <c r="A16" s="28" t="s">
        <v>29</v>
      </c>
      <c r="B16" s="1">
        <f>'[1]Balance Sheet'!$F$28</f>
        <v>3123</v>
      </c>
      <c r="G16" s="26">
        <f>B12</f>
        <v>37514.546475858886</v>
      </c>
      <c r="H16" s="25">
        <f>I16-0.005</f>
        <v>3.0402449812245599E-2</v>
      </c>
      <c r="I16" s="25">
        <f>J16-0.005</f>
        <v>3.54024498122456E-2</v>
      </c>
      <c r="J16" s="25">
        <v>4.0402449812245597E-2</v>
      </c>
      <c r="K16" s="25">
        <f>J16+0.005</f>
        <v>4.5402449812245595E-2</v>
      </c>
      <c r="L16" s="25">
        <f>K16+0.005</f>
        <v>5.0402449812245592E-2</v>
      </c>
    </row>
    <row r="17" spans="1:12" x14ac:dyDescent="0.3">
      <c r="A17" s="28" t="s">
        <v>30</v>
      </c>
      <c r="B17" s="1">
        <f>'[1]Balance Sheet'!$F$23</f>
        <v>0</v>
      </c>
      <c r="G17" s="25">
        <f>G18-0.005</f>
        <v>9.9999999999999985E-3</v>
      </c>
      <c r="H17" s="13">
        <f t="dataTable" ref="H17:L21" dt2D="1" dtr="1" r1="I4" r2="I12" ca="1"/>
        <v>38955.738924016259</v>
      </c>
      <c r="I17" s="13">
        <v>31204.748093147573</v>
      </c>
      <c r="J17" s="13">
        <v>26004.560257992824</v>
      </c>
      <c r="K17" s="13">
        <v>22274.37262742137</v>
      </c>
      <c r="L17" s="15">
        <v>19468.401621756842</v>
      </c>
    </row>
    <row r="18" spans="1:12" x14ac:dyDescent="0.3">
      <c r="A18" s="28" t="s">
        <v>31</v>
      </c>
      <c r="B18" s="1">
        <f>'[1]Balance Sheet'!$F$24</f>
        <v>61</v>
      </c>
      <c r="G18" s="25">
        <f>G19-0.005</f>
        <v>1.4999999999999999E-2</v>
      </c>
      <c r="H18" s="13">
        <v>50762.792125788292</v>
      </c>
      <c r="I18" s="22">
        <v>38226.516443891356</v>
      </c>
      <c r="J18" s="24">
        <v>30626.789961925686</v>
      </c>
      <c r="K18" s="17">
        <v>25527.980580474767</v>
      </c>
      <c r="L18" s="15">
        <v>21870.42512103431</v>
      </c>
    </row>
    <row r="19" spans="1:12" x14ac:dyDescent="0.3">
      <c r="A19" s="28" t="s">
        <v>32</v>
      </c>
      <c r="B19" s="1">
        <f>'[1]Balance Sheet'!$F$30</f>
        <v>79</v>
      </c>
      <c r="G19" s="25">
        <v>0.02</v>
      </c>
      <c r="H19" s="13">
        <v>73920.107443579327</v>
      </c>
      <c r="I19" s="23">
        <v>49807.149414444641</v>
      </c>
      <c r="J19" s="12">
        <v>37514.546475858886</v>
      </c>
      <c r="K19" s="18">
        <v>30062.413011915662</v>
      </c>
      <c r="L19" s="15">
        <v>25062.524260305097</v>
      </c>
    </row>
    <row r="20" spans="1:12" x14ac:dyDescent="0.3">
      <c r="A20" s="28" t="s">
        <v>37</v>
      </c>
      <c r="B20" s="1">
        <f>'[1]Balance Sheet'!$F$29</f>
        <v>135</v>
      </c>
      <c r="G20" s="25">
        <f>G19+0.005</f>
        <v>2.5000000000000001E-2</v>
      </c>
      <c r="H20" s="13">
        <v>139941.89373766878</v>
      </c>
      <c r="I20" s="20">
        <v>72520.384012088427</v>
      </c>
      <c r="J20" s="21">
        <v>48874.160777283214</v>
      </c>
      <c r="K20" s="19">
        <v>36819.339542432499</v>
      </c>
      <c r="L20" s="15">
        <v>29511.234144942646</v>
      </c>
    </row>
    <row r="21" spans="1:12" x14ac:dyDescent="0.3">
      <c r="A21" s="28" t="s">
        <v>34</v>
      </c>
      <c r="B21" s="1">
        <f>'[1]Balance Sheet'!$F$31</f>
        <v>31</v>
      </c>
      <c r="G21" s="25">
        <f>G20+0.005</f>
        <v>3.0000000000000002E-2</v>
      </c>
      <c r="H21" s="14">
        <v>1846461.0609523756</v>
      </c>
      <c r="I21" s="14">
        <v>137276.09079736884</v>
      </c>
      <c r="J21" s="14">
        <v>71153.908803411527</v>
      </c>
      <c r="K21" s="14">
        <v>47963.182838063418</v>
      </c>
      <c r="L21" s="16">
        <v>36140.422318009769</v>
      </c>
    </row>
    <row r="22" spans="1:12" x14ac:dyDescent="0.3">
      <c r="A22" s="28" t="s">
        <v>33</v>
      </c>
      <c r="B22" s="1">
        <f>'[1]Balance Sheet'!$F$32</f>
        <v>190</v>
      </c>
      <c r="I22" s="28" t="s">
        <v>25</v>
      </c>
      <c r="J22" s="3" t="s">
        <v>39</v>
      </c>
    </row>
    <row r="23" spans="1:12" x14ac:dyDescent="0.3">
      <c r="A23" s="28" t="s">
        <v>35</v>
      </c>
      <c r="B23" s="1">
        <f>'[1]Balance Sheet'!$F$3</f>
        <v>619</v>
      </c>
      <c r="H23" s="28" t="s">
        <v>41</v>
      </c>
      <c r="I23">
        <f>IF(J22="Bull",I20,IF(J22="Bear",K18,IF(J22="Central",J19,"Error")))</f>
        <v>37514.546475858886</v>
      </c>
      <c r="K23" s="28" t="s">
        <v>40</v>
      </c>
      <c r="L23">
        <f>I23-B25</f>
        <v>34528.546475858886</v>
      </c>
    </row>
    <row r="24" spans="1:12" x14ac:dyDescent="0.3">
      <c r="A24" s="28" t="s">
        <v>36</v>
      </c>
      <c r="B24" s="1">
        <f>'[1]Balance Sheet'!$F$12</f>
        <v>16</v>
      </c>
      <c r="I24" s="28" t="s">
        <v>45</v>
      </c>
      <c r="J24" s="27">
        <f>L23/B36</f>
        <v>39.416148945044391</v>
      </c>
    </row>
    <row r="25" spans="1:12" x14ac:dyDescent="0.3">
      <c r="A25" s="47" t="s">
        <v>26</v>
      </c>
      <c r="B25">
        <f>SUM(B15:B22)+(-1*SUM(B23:B24))</f>
        <v>2986</v>
      </c>
      <c r="I25" s="28" t="s">
        <v>46</v>
      </c>
      <c r="J25" s="27">
        <f>J24-B29</f>
        <v>3.4361489450443941</v>
      </c>
      <c r="K25" s="10">
        <f>J25/B29</f>
        <v>9.5501638272495679E-2</v>
      </c>
    </row>
    <row r="26" spans="1:12" x14ac:dyDescent="0.3">
      <c r="A26" s="47" t="s">
        <v>20</v>
      </c>
      <c r="B26" s="5">
        <f>B12-B25</f>
        <v>34528.546475858886</v>
      </c>
      <c r="D26" s="5">
        <f>D12-B25</f>
        <v>32442.875993324378</v>
      </c>
    </row>
    <row r="27" spans="1:12" x14ac:dyDescent="0.3">
      <c r="A27" s="47"/>
      <c r="B27" s="5"/>
      <c r="G27" s="32" t="s">
        <v>52</v>
      </c>
      <c r="H27" s="30"/>
      <c r="I27" s="30"/>
      <c r="J27" s="30"/>
      <c r="K27" s="30"/>
      <c r="L27" s="30"/>
    </row>
    <row r="28" spans="1:12" x14ac:dyDescent="0.3">
      <c r="A28" s="47" t="s">
        <v>21</v>
      </c>
      <c r="B28" s="9">
        <f>B26/B36</f>
        <v>39.416148945044391</v>
      </c>
      <c r="D28" s="9">
        <f>D26/B36</f>
        <v>37.035246567721892</v>
      </c>
      <c r="G28" s="26">
        <f>D12</f>
        <v>35428.875993324378</v>
      </c>
      <c r="H28" s="25">
        <f>I28-0.005</f>
        <v>3.0402449812245599E-2</v>
      </c>
      <c r="I28" s="25">
        <f>J28-0.005</f>
        <v>3.54024498122456E-2</v>
      </c>
      <c r="J28" s="25">
        <v>4.0402449812245597E-2</v>
      </c>
      <c r="K28" s="25">
        <f>J28+0.005</f>
        <v>4.5402449812245595E-2</v>
      </c>
      <c r="L28" s="25">
        <f>K28+0.005</f>
        <v>5.0402449812245592E-2</v>
      </c>
    </row>
    <row r="29" spans="1:12" x14ac:dyDescent="0.3">
      <c r="A29" s="28" t="s">
        <v>22</v>
      </c>
      <c r="B29">
        <f>DCF!$I$9</f>
        <v>35.979999999999997</v>
      </c>
      <c r="D29">
        <f>DCF!$I$9</f>
        <v>35.979999999999997</v>
      </c>
      <c r="G29" s="33">
        <f>G30-1</f>
        <v>20.92</v>
      </c>
      <c r="H29" s="13">
        <f t="dataTable" ref="H29:L33" dt2D="1" dtr="1" r1="I4" r2="I13"/>
        <v>34165.715863891761</v>
      </c>
      <c r="I29" s="13">
        <v>33378.766525279636</v>
      </c>
      <c r="J29" s="13">
        <v>32613.998305775287</v>
      </c>
      <c r="K29" s="13">
        <v>31870.680599620049</v>
      </c>
      <c r="L29" s="15">
        <v>31148.110245960645</v>
      </c>
    </row>
    <row r="30" spans="1:12" x14ac:dyDescent="0.3">
      <c r="A30" s="47" t="s">
        <v>23</v>
      </c>
      <c r="B30" s="9">
        <f>B28-B29</f>
        <v>3.4361489450443941</v>
      </c>
      <c r="C30" s="10">
        <f>B30/B29</f>
        <v>9.5501638272495679E-2</v>
      </c>
      <c r="D30" s="9">
        <f>D28-D29</f>
        <v>1.0552465677218947</v>
      </c>
      <c r="E30" s="10">
        <f>D30/D29</f>
        <v>2.932869838026389E-2</v>
      </c>
      <c r="G30" s="33">
        <f>G31-1</f>
        <v>21.92</v>
      </c>
      <c r="H30" s="13">
        <v>35640.922027802895</v>
      </c>
      <c r="I30" s="22">
        <v>34818.695895583951</v>
      </c>
      <c r="J30" s="24">
        <v>34019.658350656675</v>
      </c>
      <c r="K30" s="17">
        <v>33243.045378925613</v>
      </c>
      <c r="L30" s="15">
        <v>32488.121671328492</v>
      </c>
    </row>
    <row r="31" spans="1:12" x14ac:dyDescent="0.3">
      <c r="G31" s="33">
        <v>22.92</v>
      </c>
      <c r="H31" s="13">
        <v>37116.128191714037</v>
      </c>
      <c r="I31" s="23">
        <v>36258.625265888259</v>
      </c>
      <c r="J31" s="12">
        <v>35425.318395538074</v>
      </c>
      <c r="K31" s="18">
        <v>34615.410158231178</v>
      </c>
      <c r="L31" s="15">
        <v>33828.133096696336</v>
      </c>
    </row>
    <row r="32" spans="1:12" x14ac:dyDescent="0.3">
      <c r="G32" s="33">
        <f>G31+1</f>
        <v>23.92</v>
      </c>
      <c r="H32" s="13">
        <v>38591.334355625171</v>
      </c>
      <c r="I32" s="20">
        <v>37698.554636192574</v>
      </c>
      <c r="J32" s="21">
        <v>36830.978440419465</v>
      </c>
      <c r="K32" s="19">
        <v>35987.774937536749</v>
      </c>
      <c r="L32" s="15">
        <v>35168.144522064184</v>
      </c>
    </row>
    <row r="33" spans="1:12" x14ac:dyDescent="0.3">
      <c r="G33" s="33">
        <f>G32+1</f>
        <v>24.92</v>
      </c>
      <c r="H33" s="14">
        <v>40066.540519536313</v>
      </c>
      <c r="I33" s="14">
        <v>39138.484006496888</v>
      </c>
      <c r="J33" s="14">
        <v>38236.638485300857</v>
      </c>
      <c r="K33" s="14">
        <v>37360.139716842314</v>
      </c>
      <c r="L33" s="16">
        <v>36508.155947432031</v>
      </c>
    </row>
    <row r="34" spans="1:12" x14ac:dyDescent="0.3">
      <c r="A34" s="28" t="s">
        <v>42</v>
      </c>
      <c r="B34">
        <f>'[1]Income Statement'!$F$24</f>
        <v>873</v>
      </c>
      <c r="I34" s="28" t="s">
        <v>25</v>
      </c>
      <c r="J34" s="3" t="s">
        <v>39</v>
      </c>
    </row>
    <row r="35" spans="1:12" x14ac:dyDescent="0.3">
      <c r="A35" s="28" t="s">
        <v>43</v>
      </c>
      <c r="B35">
        <v>3</v>
      </c>
      <c r="H35" s="28" t="s">
        <v>41</v>
      </c>
      <c r="I35">
        <f>IF(J34="Bull",I32,IF(J34="Bear",K30,IF(J34="Central",J31,"Error")))</f>
        <v>35425.318395538074</v>
      </c>
      <c r="K35" s="28" t="s">
        <v>40</v>
      </c>
      <c r="L35">
        <f>I35-B37</f>
        <v>35425.318395538074</v>
      </c>
    </row>
    <row r="36" spans="1:12" x14ac:dyDescent="0.3">
      <c r="A36" s="47" t="s">
        <v>44</v>
      </c>
      <c r="B36" s="3">
        <f>B34+B35</f>
        <v>876</v>
      </c>
      <c r="I36" s="28" t="s">
        <v>45</v>
      </c>
      <c r="J36" s="27">
        <f>L35/B36</f>
        <v>40.439861182121092</v>
      </c>
    </row>
    <row r="37" spans="1:12" x14ac:dyDescent="0.3">
      <c r="I37" s="28" t="s">
        <v>46</v>
      </c>
      <c r="J37" s="27">
        <f>J36-B29</f>
        <v>4.4598611821210952</v>
      </c>
      <c r="K37" s="10">
        <f>J37/B29</f>
        <v>0.12395389611231505</v>
      </c>
    </row>
  </sheetData>
  <dataValidations disablePrompts="1"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Z26"/>
  <sheetViews>
    <sheetView showGridLines="0" tabSelected="1" workbookViewId="0">
      <pane xSplit="1" topLeftCell="B1" activePane="topRight" state="frozen"/>
      <selection pane="topRight" activeCell="A20" sqref="A20"/>
    </sheetView>
  </sheetViews>
  <sheetFormatPr defaultRowHeight="14.4" x14ac:dyDescent="0.3"/>
  <cols>
    <col min="1" max="1" width="24.21875" style="37" bestFit="1" customWidth="1"/>
    <col min="6" max="6" width="8.88671875" style="37"/>
    <col min="11" max="11" width="8.88671875" style="37"/>
    <col min="16" max="16" width="8.88671875" style="37"/>
    <col min="23" max="23" width="37.88671875" bestFit="1" customWidth="1"/>
  </cols>
  <sheetData>
    <row r="1" spans="1:26" x14ac:dyDescent="0.3">
      <c r="A1" s="35"/>
      <c r="B1" s="35" t="s">
        <v>53</v>
      </c>
      <c r="C1" s="35"/>
      <c r="D1" s="35"/>
      <c r="E1" s="35"/>
      <c r="F1" s="36"/>
      <c r="G1" s="35" t="s">
        <v>54</v>
      </c>
      <c r="H1" s="35"/>
      <c r="I1" s="35"/>
      <c r="J1" s="35"/>
      <c r="K1" s="36"/>
      <c r="L1" s="35" t="s">
        <v>55</v>
      </c>
      <c r="M1" s="35"/>
      <c r="N1" s="35"/>
      <c r="O1" s="35"/>
      <c r="P1" s="36"/>
      <c r="Q1" s="42" t="s">
        <v>60</v>
      </c>
      <c r="R1" s="42"/>
      <c r="S1" s="42"/>
      <c r="T1" s="42"/>
      <c r="U1" s="42"/>
      <c r="X1" t="s">
        <v>61</v>
      </c>
      <c r="Y1" t="s">
        <v>62</v>
      </c>
      <c r="Z1" t="s">
        <v>63</v>
      </c>
    </row>
    <row r="2" spans="1:26" x14ac:dyDescent="0.3">
      <c r="A2" s="38" t="s">
        <v>0</v>
      </c>
      <c r="B2" s="38">
        <v>2025</v>
      </c>
      <c r="C2" s="38">
        <v>2026</v>
      </c>
      <c r="D2" s="38">
        <v>2027</v>
      </c>
      <c r="E2" s="38">
        <v>2028</v>
      </c>
      <c r="F2" s="39">
        <v>2029</v>
      </c>
      <c r="G2" s="38">
        <v>2025</v>
      </c>
      <c r="H2" s="38">
        <v>2026</v>
      </c>
      <c r="I2" s="38">
        <v>2027</v>
      </c>
      <c r="J2" s="38">
        <v>2028</v>
      </c>
      <c r="K2" s="39">
        <v>2029</v>
      </c>
      <c r="L2" s="38">
        <v>2025</v>
      </c>
      <c r="M2" s="38">
        <v>2026</v>
      </c>
      <c r="N2" s="38">
        <v>2027</v>
      </c>
      <c r="O2" s="38">
        <v>2028</v>
      </c>
      <c r="P2" s="39">
        <v>2029</v>
      </c>
      <c r="Q2" s="43">
        <v>2025</v>
      </c>
      <c r="R2" s="43">
        <v>2026</v>
      </c>
      <c r="S2" s="43">
        <v>2027</v>
      </c>
      <c r="T2" s="43">
        <v>2028</v>
      </c>
      <c r="U2" s="43">
        <v>2029</v>
      </c>
      <c r="W2" s="34" t="s">
        <v>1</v>
      </c>
      <c r="X2" s="8">
        <f>'[1]Balance Sheet'!$N$7</f>
        <v>0.10567499999999999</v>
      </c>
      <c r="Y2" s="8">
        <f>'[1]Balance Sheet'!$N$7</f>
        <v>0.10567499999999999</v>
      </c>
      <c r="Z2" s="8">
        <f>'[1]Balance Sheet'!$N$7</f>
        <v>0.10567499999999999</v>
      </c>
    </row>
    <row r="3" spans="1:26" x14ac:dyDescent="0.3">
      <c r="A3" s="49" t="s">
        <v>56</v>
      </c>
      <c r="B3" s="1">
        <f>'[1]Income Statement'!G44</f>
        <v>2413.6991302341535</v>
      </c>
      <c r="C3" s="1">
        <f>'[1]Income Statement'!H44</f>
        <v>2527.5242912334529</v>
      </c>
      <c r="D3" s="1">
        <f>'[1]Income Statement'!I44</f>
        <v>2646.7172162238094</v>
      </c>
      <c r="E3" s="1">
        <f>'[1]Income Statement'!J44</f>
        <v>2771.5310380803335</v>
      </c>
      <c r="F3" s="40">
        <f>'[1]Income Statement'!K44</f>
        <v>2902.230826911697</v>
      </c>
      <c r="G3" s="1">
        <f>'[1]Income Statement'!G45</f>
        <v>1972.7566005307594</v>
      </c>
      <c r="H3" s="1">
        <f>'[1]Income Statement'!H45</f>
        <v>2133.6450684965343</v>
      </c>
      <c r="I3" s="1">
        <f>'[1]Income Statement'!I45</f>
        <v>2307.6548202118656</v>
      </c>
      <c r="J3" s="1">
        <f>'[1]Income Statement'!J45</f>
        <v>2495.8559639909986</v>
      </c>
      <c r="K3" s="40">
        <f>'[1]Income Statement'!K45</f>
        <v>2699.405880996329</v>
      </c>
      <c r="L3" s="1">
        <f>'[1]Income Statement'!G46</f>
        <v>1789.1296699937484</v>
      </c>
      <c r="M3" s="1">
        <f>'[1]Income Statement'!H46</f>
        <v>1904.2147388768226</v>
      </c>
      <c r="N3" s="1">
        <f>'[1]Income Statement'!I46</f>
        <v>2026.7026099725886</v>
      </c>
      <c r="O3" s="1">
        <f>'[1]Income Statement'!J46</f>
        <v>2157.0694656488554</v>
      </c>
      <c r="P3" s="46">
        <f>'[1]Income Statement'!K46</f>
        <v>2295.8221185186958</v>
      </c>
      <c r="Q3" s="44">
        <v>6175.5854007586613</v>
      </c>
      <c r="R3" s="44">
        <v>6565.3840986068099</v>
      </c>
      <c r="S3" s="44">
        <v>6981.074646408264</v>
      </c>
      <c r="T3" s="44">
        <v>7424.456467720187</v>
      </c>
      <c r="U3" s="44">
        <v>7897.4588264267222</v>
      </c>
      <c r="W3" s="34" t="s">
        <v>16</v>
      </c>
      <c r="X3" s="8">
        <v>4.1000000000000002E-2</v>
      </c>
      <c r="Y3" s="8">
        <v>4.1000000000000002E-2</v>
      </c>
      <c r="Z3" s="8">
        <v>4.1000000000000002E-2</v>
      </c>
    </row>
    <row r="4" spans="1:26" x14ac:dyDescent="0.3">
      <c r="A4" s="49" t="s">
        <v>57</v>
      </c>
      <c r="B4" s="1">
        <f>(B$3/Q$3)*Q4</f>
        <v>-714.38197475327559</v>
      </c>
      <c r="C4" s="1">
        <f t="shared" ref="C4:F4" si="0">C3/R3*R4</f>
        <v>-748.07078139563498</v>
      </c>
      <c r="D4" s="1">
        <f t="shared" si="0"/>
        <v>-783.34828390812493</v>
      </c>
      <c r="E4" s="1">
        <f t="shared" si="0"/>
        <v>-820.28940196939595</v>
      </c>
      <c r="F4" s="40">
        <f t="shared" si="0"/>
        <v>-858.97258831836211</v>
      </c>
      <c r="G4" s="1">
        <f>G3/Q3*Q4</f>
        <v>-583.87631595906737</v>
      </c>
      <c r="H4" s="1">
        <f t="shared" ref="H4:K4" si="1">H3/R3*R4</f>
        <v>-631.49443870714572</v>
      </c>
      <c r="I4" s="1">
        <f t="shared" si="1"/>
        <v>-682.99606477959924</v>
      </c>
      <c r="J4" s="1">
        <f t="shared" si="1"/>
        <v>-738.69791388732926</v>
      </c>
      <c r="K4" s="40">
        <f t="shared" si="1"/>
        <v>-798.94253586597108</v>
      </c>
      <c r="L4" s="1">
        <f>L3/Q3*Q4</f>
        <v>-529.52829568937182</v>
      </c>
      <c r="M4" s="1">
        <f t="shared" ref="M4:P4" si="2">M3/R3*R4</f>
        <v>-563.58999697744082</v>
      </c>
      <c r="N4" s="1">
        <f t="shared" si="2"/>
        <v>-599.84270392862948</v>
      </c>
      <c r="O4" s="1">
        <f t="shared" si="2"/>
        <v>-638.42735212848697</v>
      </c>
      <c r="P4" s="40">
        <f t="shared" si="2"/>
        <v>-679.49394278918635</v>
      </c>
      <c r="Q4" s="44">
        <v>-1827.7865864017149</v>
      </c>
      <c r="R4" s="44">
        <v>-1943.1552170802215</v>
      </c>
      <c r="S4" s="44">
        <v>-2066.1870526163539</v>
      </c>
      <c r="T4" s="44">
        <v>-2197.414667985212</v>
      </c>
      <c r="U4" s="44">
        <v>-2337.4090669735197</v>
      </c>
      <c r="W4" s="34" t="s">
        <v>2</v>
      </c>
      <c r="X4" s="8">
        <f>(X5*(1-X2)*(X6/(X6+X8)))+(X7*(X7/(X7+X5)))</f>
        <v>3.6068361914094398E-2</v>
      </c>
      <c r="Y4" s="8">
        <f>(Y5*(1-Y2)*(Y6/(Y6+Y8)))+(Y7*(Y7/(Y7+Y5)))</f>
        <v>3.6068361914094398E-2</v>
      </c>
      <c r="Z4" s="8">
        <f>(Z5*(1-Z2)*(Z6/(Z6+Z8)))+(Z7*(Z7/(Z7+Z5)))</f>
        <v>3.6068361914094398E-2</v>
      </c>
    </row>
    <row r="5" spans="1:26" s="3" customFormat="1" x14ac:dyDescent="0.3">
      <c r="A5" s="50" t="s">
        <v>58</v>
      </c>
      <c r="B5" s="5">
        <f>SUM(B3:B4)</f>
        <v>1699.3171554808778</v>
      </c>
      <c r="C5" s="5">
        <f t="shared" ref="C5:P5" si="3">SUM(C3:C4)</f>
        <v>1779.4535098378178</v>
      </c>
      <c r="D5" s="5">
        <f t="shared" si="3"/>
        <v>1863.3689323156846</v>
      </c>
      <c r="E5" s="5">
        <f t="shared" si="3"/>
        <v>1951.2416361109376</v>
      </c>
      <c r="F5" s="41">
        <f t="shared" si="3"/>
        <v>2043.2582385933349</v>
      </c>
      <c r="G5" s="5">
        <f t="shared" si="3"/>
        <v>1388.8802845716921</v>
      </c>
      <c r="H5" s="5">
        <f t="shared" si="3"/>
        <v>1502.1506297893886</v>
      </c>
      <c r="I5" s="5">
        <f t="shared" si="3"/>
        <v>1624.6587554322664</v>
      </c>
      <c r="J5" s="5">
        <f t="shared" si="3"/>
        <v>1757.1580501036692</v>
      </c>
      <c r="K5" s="41">
        <f t="shared" si="3"/>
        <v>1900.463345130358</v>
      </c>
      <c r="L5" s="5">
        <f t="shared" si="3"/>
        <v>1259.6013743043766</v>
      </c>
      <c r="M5" s="5">
        <f t="shared" si="3"/>
        <v>1340.6247418993817</v>
      </c>
      <c r="N5" s="5">
        <f t="shared" si="3"/>
        <v>1426.8599060439592</v>
      </c>
      <c r="O5" s="5">
        <f t="shared" si="3"/>
        <v>1518.6421135203684</v>
      </c>
      <c r="P5" s="41">
        <f t="shared" si="3"/>
        <v>1616.3281757295094</v>
      </c>
      <c r="Q5" s="45">
        <v>4347.7988143569464</v>
      </c>
      <c r="R5" s="45">
        <v>4622.2288815265883</v>
      </c>
      <c r="S5" s="45">
        <v>4914.8875937919101</v>
      </c>
      <c r="T5" s="45">
        <v>5227.041799734975</v>
      </c>
      <c r="U5" s="45">
        <v>5560.0497594532026</v>
      </c>
      <c r="W5" s="34" t="s">
        <v>9</v>
      </c>
      <c r="X5" s="8">
        <f>0.056</f>
        <v>5.6000000000000001E-2</v>
      </c>
      <c r="Y5" s="8">
        <f>0.056</f>
        <v>5.6000000000000001E-2</v>
      </c>
      <c r="Z5" s="8">
        <f>0.056</f>
        <v>5.6000000000000001E-2</v>
      </c>
    </row>
    <row r="6" spans="1:26" x14ac:dyDescent="0.3">
      <c r="A6" s="49" t="s">
        <v>59</v>
      </c>
      <c r="B6" s="1">
        <f t="shared" ref="B6" si="4">B$3/Q$3*Q6</f>
        <v>-1360.9186211028596</v>
      </c>
      <c r="C6" s="1">
        <f t="shared" ref="C6:F6" si="5">C$3/R$3*R6</f>
        <v>-1425.0967861498636</v>
      </c>
      <c r="D6" s="1">
        <f t="shared" si="5"/>
        <v>-1492.3014634400924</v>
      </c>
      <c r="E6" s="1">
        <f t="shared" si="5"/>
        <v>-1562.6753771594383</v>
      </c>
      <c r="F6" s="40">
        <f t="shared" si="5"/>
        <v>-1636.3679820772513</v>
      </c>
      <c r="G6" s="1">
        <f t="shared" ref="G6" si="6">G$3/Q$3*Q6</f>
        <v>-1112.3015122043967</v>
      </c>
      <c r="H6" s="1">
        <f t="shared" ref="H6" si="7">H$3/R$3*R6</f>
        <v>-1203.0154331039303</v>
      </c>
      <c r="I6" s="1">
        <f t="shared" ref="I6" si="8">I$3/S$3*S6</f>
        <v>-1301.1275417742045</v>
      </c>
      <c r="J6" s="1">
        <f t="shared" ref="J6" si="9">J$3/T$3*T6</f>
        <v>-1407.2411985567014</v>
      </c>
      <c r="K6" s="40">
        <f t="shared" ref="K6" si="10">K$3/U$3*U6</f>
        <v>-1522.0089709383496</v>
      </c>
      <c r="L6" s="1">
        <f t="shared" ref="L6" si="11">L$3/Q$3*Q6</f>
        <v>-1008.7669390782356</v>
      </c>
      <c r="M6" s="1">
        <f t="shared" ref="M6" si="12">M$3/R$3*R6</f>
        <v>-1073.6554793656437</v>
      </c>
      <c r="N6" s="1">
        <f t="shared" ref="N6" si="13">N$3/S$3*S6</f>
        <v>-1142.7179497230422</v>
      </c>
      <c r="O6" s="1">
        <f t="shared" ref="O6" si="14">O$3/T$3*T6</f>
        <v>-1216.2228365757996</v>
      </c>
      <c r="P6" s="40">
        <f t="shared" ref="P6" si="15">P$3/U$3*U6</f>
        <v>-1294.45589663398</v>
      </c>
      <c r="Q6" s="44">
        <v>-3481.987072385492</v>
      </c>
      <c r="R6" s="44">
        <v>-3701.7676986194379</v>
      </c>
      <c r="S6" s="44">
        <v>-3936.1469549373396</v>
      </c>
      <c r="T6" s="44">
        <v>-4186.1394122919392</v>
      </c>
      <c r="U6" s="44">
        <v>-4452.8328496495815</v>
      </c>
      <c r="W6" s="34" t="s">
        <v>10</v>
      </c>
      <c r="X6" s="2"/>
      <c r="Y6" s="2"/>
      <c r="Z6" s="2"/>
    </row>
    <row r="7" spans="1:26" s="3" customFormat="1" x14ac:dyDescent="0.3">
      <c r="A7" s="50" t="s">
        <v>3</v>
      </c>
      <c r="B7" s="5">
        <f>SUM(B5:B6)</f>
        <v>338.39853437801821</v>
      </c>
      <c r="C7" s="5">
        <f>SUM(C5:C6)</f>
        <v>354.35672368795417</v>
      </c>
      <c r="D7" s="5">
        <f>SUM(D5:D6)</f>
        <v>371.06746887559211</v>
      </c>
      <c r="E7" s="5">
        <f>SUM(E5:E6)</f>
        <v>388.56625895149932</v>
      </c>
      <c r="F7" s="41">
        <f>SUM(F5:F6)</f>
        <v>406.89025651608358</v>
      </c>
      <c r="G7" s="5">
        <f t="shared" ref="G7:P7" si="16">SUM(G5:G6)</f>
        <v>276.57877236729541</v>
      </c>
      <c r="H7" s="5">
        <f t="shared" si="16"/>
        <v>299.13519668545837</v>
      </c>
      <c r="I7" s="5">
        <f t="shared" si="16"/>
        <v>323.53121365806192</v>
      </c>
      <c r="J7" s="5">
        <f t="shared" si="16"/>
        <v>349.91685154696779</v>
      </c>
      <c r="K7" s="41">
        <f t="shared" si="16"/>
        <v>378.45437419200834</v>
      </c>
      <c r="L7" s="5">
        <f t="shared" si="16"/>
        <v>250.83443522614095</v>
      </c>
      <c r="M7" s="5">
        <f t="shared" si="16"/>
        <v>266.96926253373795</v>
      </c>
      <c r="N7" s="5">
        <f t="shared" si="16"/>
        <v>284.14195632091696</v>
      </c>
      <c r="O7" s="5">
        <f t="shared" si="16"/>
        <v>302.41927694456876</v>
      </c>
      <c r="P7" s="41">
        <f t="shared" si="16"/>
        <v>321.87227909552939</v>
      </c>
      <c r="Q7" s="45">
        <v>865.81174197145447</v>
      </c>
      <c r="R7" s="45">
        <v>920.46118290715049</v>
      </c>
      <c r="S7" s="45">
        <v>978.74063885457053</v>
      </c>
      <c r="T7" s="45">
        <v>1040.9023874430359</v>
      </c>
      <c r="U7" s="45">
        <v>1107.2169098036211</v>
      </c>
      <c r="W7" s="34" t="s">
        <v>11</v>
      </c>
      <c r="X7" s="8">
        <f>X3+(X10*X11)</f>
        <v>6.6460000000000005E-2</v>
      </c>
      <c r="Y7" s="8">
        <f>Y3+(Y10*Y11)</f>
        <v>6.6460000000000005E-2</v>
      </c>
      <c r="Z7" s="8">
        <f>Z3+(Z10*Z11)</f>
        <v>6.6460000000000005E-2</v>
      </c>
    </row>
    <row r="8" spans="1:26" x14ac:dyDescent="0.3">
      <c r="A8" s="50" t="s">
        <v>64</v>
      </c>
      <c r="B8" s="5">
        <f>B7*(1-$X$2)</f>
        <v>302.63826925762118</v>
      </c>
      <c r="C8" s="5">
        <f t="shared" ref="C8:F8" si="17">C7*(1-$X$2)</f>
        <v>316.91007691222961</v>
      </c>
      <c r="D8" s="5">
        <f t="shared" si="17"/>
        <v>331.85491410216395</v>
      </c>
      <c r="E8" s="5">
        <f t="shared" si="17"/>
        <v>347.50451953679965</v>
      </c>
      <c r="F8" s="41">
        <f t="shared" si="17"/>
        <v>363.89212865874646</v>
      </c>
      <c r="G8" s="5">
        <f>G7*(1-$Y$2)</f>
        <v>247.35131059738148</v>
      </c>
      <c r="H8" s="5">
        <f t="shared" ref="H8:K8" si="18">H7*(1-$Y$2)</f>
        <v>267.52408477572254</v>
      </c>
      <c r="I8" s="5">
        <f t="shared" si="18"/>
        <v>289.34205265474623</v>
      </c>
      <c r="J8" s="5">
        <f t="shared" si="18"/>
        <v>312.93938825974197</v>
      </c>
      <c r="K8" s="41">
        <f t="shared" si="18"/>
        <v>338.4612081992679</v>
      </c>
      <c r="L8" s="5">
        <f>L7*(1-$Z$2)</f>
        <v>224.3275062836185</v>
      </c>
      <c r="M8" s="5">
        <f t="shared" ref="M8:P8" si="19">M7*(1-$Z$2)</f>
        <v>238.75728571548521</v>
      </c>
      <c r="N8" s="5">
        <f t="shared" si="19"/>
        <v>254.11525508670408</v>
      </c>
      <c r="O8" s="5">
        <f t="shared" si="19"/>
        <v>270.46111985345146</v>
      </c>
      <c r="P8" s="41">
        <f t="shared" si="19"/>
        <v>287.85842600210935</v>
      </c>
      <c r="W8" s="34" t="s">
        <v>12</v>
      </c>
      <c r="X8" s="7">
        <f>X9*'[1]Income Statement'!$H$25</f>
        <v>31518.479999999996</v>
      </c>
      <c r="Y8" s="7">
        <f>Y9*'[1]Income Statement'!$H$25</f>
        <v>31518.479999999996</v>
      </c>
      <c r="Z8" s="7">
        <f>Z9*'[1]Income Statement'!$H$25</f>
        <v>31518.479999999996</v>
      </c>
    </row>
    <row r="9" spans="1:26" x14ac:dyDescent="0.3">
      <c r="B9" s="1"/>
      <c r="C9" s="1"/>
      <c r="D9" s="1"/>
      <c r="E9" s="1"/>
      <c r="F9" s="40"/>
      <c r="G9" s="1"/>
      <c r="H9" s="1"/>
      <c r="I9" s="1"/>
      <c r="J9" s="1"/>
      <c r="K9" s="40"/>
      <c r="L9" s="1"/>
      <c r="M9" s="1"/>
      <c r="N9" s="1"/>
      <c r="O9" s="1"/>
      <c r="P9" s="40"/>
      <c r="W9" s="34" t="s">
        <v>13</v>
      </c>
      <c r="X9" s="2">
        <v>35.979999999999997</v>
      </c>
      <c r="Y9" s="2">
        <v>35.979999999999997</v>
      </c>
      <c r="Z9" s="2">
        <v>35.979999999999997</v>
      </c>
    </row>
    <row r="10" spans="1:26" x14ac:dyDescent="0.3">
      <c r="A10" s="52" t="s">
        <v>75</v>
      </c>
      <c r="B10" s="1"/>
      <c r="C10" s="1"/>
      <c r="D10" s="1"/>
      <c r="E10" s="1"/>
      <c r="F10" s="40"/>
      <c r="G10" s="1"/>
      <c r="H10" s="1"/>
      <c r="I10" s="1"/>
      <c r="J10" s="1"/>
      <c r="K10" s="40"/>
      <c r="L10" s="1"/>
      <c r="M10" s="1"/>
      <c r="N10" s="1"/>
      <c r="O10" s="1"/>
      <c r="P10" s="40"/>
      <c r="W10" s="34" t="s">
        <v>14</v>
      </c>
      <c r="X10" s="2">
        <v>0.67</v>
      </c>
      <c r="Y10" s="2">
        <v>0.67</v>
      </c>
      <c r="Z10" s="2">
        <v>0.67</v>
      </c>
    </row>
    <row r="11" spans="1:26" x14ac:dyDescent="0.3">
      <c r="B11" s="1"/>
      <c r="C11" s="1"/>
      <c r="D11" s="1"/>
      <c r="E11" s="1"/>
      <c r="F11" s="40"/>
      <c r="G11" s="1"/>
      <c r="H11" s="1"/>
      <c r="I11" s="1"/>
      <c r="J11" s="1"/>
      <c r="K11" s="40"/>
      <c r="L11" s="1"/>
      <c r="M11" s="1"/>
      <c r="N11" s="1"/>
      <c r="O11" s="1"/>
      <c r="P11" s="40"/>
      <c r="W11" s="34" t="s">
        <v>15</v>
      </c>
      <c r="X11" s="8">
        <v>3.7999999999999999E-2</v>
      </c>
      <c r="Y11" s="8">
        <v>3.7999999999999999E-2</v>
      </c>
      <c r="Z11" s="8">
        <v>3.7999999999999999E-2</v>
      </c>
    </row>
    <row r="12" spans="1:26" x14ac:dyDescent="0.3">
      <c r="B12" s="1"/>
      <c r="C12" s="1"/>
      <c r="D12" s="1"/>
      <c r="E12" s="1"/>
      <c r="F12" s="40"/>
      <c r="G12" s="1"/>
      <c r="H12" s="1"/>
      <c r="I12" s="1"/>
      <c r="J12" s="1"/>
      <c r="K12" s="40"/>
      <c r="L12" s="1"/>
      <c r="M12" s="1"/>
      <c r="N12" s="1"/>
      <c r="O12" s="1"/>
      <c r="P12" s="40"/>
      <c r="W12" s="34" t="s">
        <v>17</v>
      </c>
      <c r="X12" s="8">
        <v>0.02</v>
      </c>
      <c r="Y12" s="8">
        <v>0.02</v>
      </c>
      <c r="Z12" s="8">
        <v>0.02</v>
      </c>
    </row>
    <row r="13" spans="1:26" x14ac:dyDescent="0.3">
      <c r="B13" s="1"/>
      <c r="C13" s="1"/>
      <c r="D13" s="1"/>
      <c r="E13" s="1"/>
      <c r="F13" s="40"/>
      <c r="G13" s="1"/>
      <c r="H13" s="1"/>
      <c r="I13" s="1"/>
      <c r="J13" s="1"/>
      <c r="K13" s="40"/>
      <c r="L13" s="1"/>
      <c r="M13" s="1"/>
      <c r="N13" s="1"/>
      <c r="O13" s="1"/>
      <c r="P13" s="40"/>
      <c r="W13" s="34" t="s">
        <v>51</v>
      </c>
      <c r="X13" s="31">
        <f>X8/'[1]Income Statement'!$F$41</f>
        <v>22.922530909090906</v>
      </c>
      <c r="Y13" s="31">
        <f>Y8/'[1]Income Statement'!$F$41</f>
        <v>22.922530909090906</v>
      </c>
      <c r="Z13" s="31">
        <f>Z8/'[1]Income Statement'!$F$41</f>
        <v>22.922530909090906</v>
      </c>
    </row>
    <row r="14" spans="1:26" x14ac:dyDescent="0.3">
      <c r="B14" s="1"/>
      <c r="C14" s="1"/>
      <c r="D14" s="1"/>
      <c r="E14" s="1"/>
      <c r="F14" s="40"/>
      <c r="G14" s="1"/>
      <c r="H14" s="1"/>
      <c r="I14" s="1"/>
      <c r="J14" s="1"/>
      <c r="K14" s="40"/>
      <c r="L14" s="1"/>
      <c r="M14" s="1"/>
      <c r="N14" s="1"/>
      <c r="O14" s="1"/>
      <c r="P14" s="40"/>
    </row>
    <row r="15" spans="1:26" x14ac:dyDescent="0.3">
      <c r="B15" s="1"/>
      <c r="C15" s="1"/>
      <c r="D15" s="1"/>
      <c r="E15" s="1"/>
      <c r="F15" s="40"/>
      <c r="G15" s="1"/>
      <c r="H15" s="1"/>
      <c r="I15" s="1"/>
      <c r="J15" s="1"/>
      <c r="K15" s="40"/>
      <c r="L15" s="1"/>
      <c r="M15" s="1"/>
      <c r="N15" s="1"/>
      <c r="O15" s="1"/>
      <c r="P15" s="40"/>
      <c r="W15" s="51" t="s">
        <v>65</v>
      </c>
    </row>
    <row r="16" spans="1:26" x14ac:dyDescent="0.3">
      <c r="B16" s="1"/>
      <c r="C16" s="1"/>
      <c r="D16" s="1"/>
      <c r="E16" s="1"/>
      <c r="F16" s="40"/>
      <c r="G16" s="1"/>
      <c r="H16" s="1"/>
      <c r="I16" s="1"/>
      <c r="J16" s="1"/>
      <c r="K16" s="40"/>
      <c r="L16" s="1"/>
      <c r="M16" s="1"/>
      <c r="N16" s="1"/>
      <c r="O16" s="1"/>
      <c r="P16" s="40"/>
      <c r="W16" s="51" t="s">
        <v>66</v>
      </c>
    </row>
    <row r="17" spans="1:23" x14ac:dyDescent="0.3">
      <c r="B17" s="1"/>
      <c r="C17" s="1"/>
      <c r="D17" s="1"/>
      <c r="E17" s="1"/>
      <c r="F17" s="40"/>
      <c r="G17" s="1"/>
      <c r="H17" s="1"/>
      <c r="I17" s="1"/>
      <c r="J17" s="1"/>
      <c r="K17" s="40"/>
      <c r="L17" s="1"/>
      <c r="M17" s="1"/>
      <c r="N17" s="1"/>
      <c r="O17" s="1"/>
      <c r="P17" s="40"/>
      <c r="W17" s="51" t="s">
        <v>67</v>
      </c>
    </row>
    <row r="18" spans="1:23" x14ac:dyDescent="0.3">
      <c r="B18" s="1"/>
      <c r="C18" s="1"/>
      <c r="D18" s="1"/>
      <c r="E18" s="1"/>
      <c r="F18" s="40"/>
      <c r="G18" s="1"/>
      <c r="H18" s="1"/>
      <c r="I18" s="1"/>
      <c r="J18" s="1"/>
      <c r="K18" s="40"/>
      <c r="L18" s="1"/>
      <c r="M18" s="1"/>
      <c r="N18" s="1"/>
      <c r="O18" s="1"/>
      <c r="P18" s="40"/>
      <c r="W18" s="51" t="s">
        <v>68</v>
      </c>
    </row>
    <row r="19" spans="1:23" x14ac:dyDescent="0.3">
      <c r="B19" s="1"/>
      <c r="C19" s="1"/>
      <c r="D19" s="1"/>
      <c r="E19" s="1"/>
      <c r="F19" s="40"/>
      <c r="G19" s="1"/>
      <c r="H19" s="1"/>
      <c r="I19" s="1"/>
      <c r="J19" s="1"/>
      <c r="K19" s="40"/>
      <c r="L19" s="1"/>
      <c r="M19" s="1"/>
      <c r="N19" s="1"/>
      <c r="O19" s="1"/>
      <c r="P19" s="40"/>
      <c r="W19" s="51" t="s">
        <v>69</v>
      </c>
    </row>
    <row r="20" spans="1:23" x14ac:dyDescent="0.3">
      <c r="A20" s="37" t="s">
        <v>76</v>
      </c>
      <c r="B20" s="1"/>
      <c r="C20" s="1"/>
      <c r="D20" s="1"/>
      <c r="E20" s="1"/>
      <c r="F20" s="40"/>
      <c r="G20" s="1"/>
      <c r="H20" s="1"/>
      <c r="I20" s="1"/>
      <c r="J20" s="1"/>
      <c r="K20" s="40"/>
      <c r="L20" s="1"/>
      <c r="M20" s="1"/>
      <c r="N20" s="1"/>
      <c r="O20" s="1"/>
      <c r="P20" s="40"/>
      <c r="W20" s="51" t="s">
        <v>70</v>
      </c>
    </row>
    <row r="21" spans="1:23" x14ac:dyDescent="0.3">
      <c r="B21" s="1"/>
      <c r="C21" s="1"/>
      <c r="D21" s="1"/>
      <c r="E21" s="1"/>
      <c r="F21" s="40"/>
      <c r="G21" s="1"/>
      <c r="H21" s="1"/>
      <c r="I21" s="1"/>
      <c r="J21" s="1"/>
      <c r="K21" s="40"/>
      <c r="L21" s="1"/>
      <c r="M21" s="1"/>
      <c r="N21" s="1"/>
      <c r="O21" s="1"/>
      <c r="P21" s="40"/>
      <c r="W21" s="51" t="s">
        <v>71</v>
      </c>
    </row>
    <row r="22" spans="1:23" x14ac:dyDescent="0.3">
      <c r="B22" s="1"/>
      <c r="C22" s="1"/>
      <c r="D22" s="1"/>
      <c r="E22" s="1"/>
      <c r="F22" s="40"/>
      <c r="G22" s="1"/>
      <c r="H22" s="1"/>
      <c r="I22" s="1"/>
      <c r="J22" s="1"/>
      <c r="K22" s="40"/>
      <c r="L22" s="1"/>
      <c r="M22" s="1"/>
      <c r="N22" s="1"/>
      <c r="O22" s="1"/>
      <c r="P22" s="40"/>
      <c r="W22" s="51" t="s">
        <v>72</v>
      </c>
    </row>
    <row r="23" spans="1:23" x14ac:dyDescent="0.3">
      <c r="B23" s="1"/>
      <c r="C23" s="1"/>
      <c r="D23" s="1"/>
      <c r="E23" s="1"/>
      <c r="F23" s="40"/>
      <c r="G23" s="1"/>
      <c r="H23" s="1"/>
      <c r="I23" s="1"/>
      <c r="J23" s="1"/>
      <c r="K23" s="40"/>
      <c r="L23" s="1"/>
      <c r="M23" s="1"/>
      <c r="N23" s="1"/>
      <c r="O23" s="1"/>
      <c r="P23" s="40"/>
      <c r="W23" s="51" t="s">
        <v>73</v>
      </c>
    </row>
    <row r="24" spans="1:23" x14ac:dyDescent="0.3">
      <c r="B24" s="1"/>
      <c r="C24" s="1"/>
      <c r="D24" s="1"/>
      <c r="E24" s="1"/>
      <c r="F24" s="40"/>
      <c r="G24" s="1"/>
      <c r="H24" s="1"/>
      <c r="I24" s="1"/>
      <c r="J24" s="1"/>
      <c r="K24" s="40"/>
      <c r="L24" s="1"/>
      <c r="M24" s="1"/>
      <c r="N24" s="1"/>
      <c r="O24" s="1"/>
      <c r="P24" s="40"/>
      <c r="W24" s="51" t="s">
        <v>74</v>
      </c>
    </row>
    <row r="25" spans="1:23" x14ac:dyDescent="0.3">
      <c r="B25" s="1"/>
      <c r="C25" s="1"/>
      <c r="D25" s="1"/>
      <c r="E25" s="1"/>
      <c r="F25" s="40"/>
      <c r="G25" s="1"/>
      <c r="H25" s="1"/>
      <c r="I25" s="1"/>
      <c r="J25" s="1"/>
      <c r="K25" s="40"/>
      <c r="L25" s="1"/>
      <c r="M25" s="1"/>
      <c r="N25" s="1"/>
      <c r="O25" s="1"/>
      <c r="P25" s="40"/>
    </row>
    <row r="26" spans="1:23" x14ac:dyDescent="0.3">
      <c r="B26" s="1"/>
      <c r="C26" s="1"/>
      <c r="D26" s="1"/>
      <c r="E26" s="1"/>
      <c r="F26" s="40"/>
      <c r="G26" s="1"/>
      <c r="H26" s="1"/>
      <c r="I26" s="1"/>
      <c r="J26" s="1"/>
      <c r="K26" s="40"/>
      <c r="L26" s="1"/>
      <c r="M26" s="1"/>
      <c r="N26" s="1"/>
      <c r="O26" s="1"/>
      <c r="P26" s="40"/>
    </row>
  </sheetData>
  <pageMargins left="0.7" right="0.7" top="0.75" bottom="0.75" header="0.3" footer="0.3"/>
  <ignoredErrors>
    <ignoredError sqref="B6:F6 G6:P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</vt:lpstr>
      <vt:lpstr>SOTP</vt:lpstr>
      <vt:lpstr>rNPV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2025-10-31T16:22:43Z</dcterms:modified>
</cp:coreProperties>
</file>