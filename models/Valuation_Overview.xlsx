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10f4a09bcef627/Documents/GitHub/XD_Grad_Portfolio/models/"/>
    </mc:Choice>
  </mc:AlternateContent>
  <xr:revisionPtr revIDLastSave="225" documentId="8_{02D28BC9-F6A2-49E2-BD3D-8A715F1F3F2F}" xr6:coauthVersionLast="47" xr6:coauthVersionMax="47" xr10:uidLastSave="{065160FD-597B-461C-9C64-8ADD51BE9D3F}"/>
  <bookViews>
    <workbookView xWindow="-108" yWindow="-108" windowWidth="23256" windowHeight="12456" xr2:uid="{393E3E96-05E8-4B16-B9B5-007D399B71EB}"/>
  </bookViews>
  <sheets>
    <sheet name="Valu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K5" i="1"/>
  <c r="K4" i="1"/>
  <c r="M7" i="1" l="1"/>
  <c r="M8" i="1"/>
  <c r="M9" i="1"/>
  <c r="K6" i="1"/>
  <c r="K7" i="1"/>
  <c r="K8" i="1"/>
  <c r="K9" i="1"/>
  <c r="M6" i="1" l="1"/>
  <c r="K10" i="1" l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Davis</author>
  </authors>
  <commentList>
    <comment ref="I3" authorId="0" shapeId="0" xr:uid="{1007029B-C060-49B7-8F07-D005D3E64F2C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Xavier Davis:
All values here are hard coded - avoids issues with sensitivity case changes
</t>
        </r>
      </text>
    </comment>
  </commentList>
</comments>
</file>

<file path=xl/sharedStrings.xml><?xml version="1.0" encoding="utf-8"?>
<sst xmlns="http://schemas.openxmlformats.org/spreadsheetml/2006/main" count="13" uniqueCount="13">
  <si>
    <t>52-Week Trading Range</t>
  </si>
  <si>
    <t>Current Analyst Forecast</t>
  </si>
  <si>
    <t>Base DCF</t>
  </si>
  <si>
    <t>SOTP Valuation</t>
  </si>
  <si>
    <t>rNPV SOTP Valuation</t>
  </si>
  <si>
    <t>Comparables Valuation</t>
  </si>
  <si>
    <t>Open</t>
  </si>
  <si>
    <t>Low</t>
  </si>
  <si>
    <t>High</t>
  </si>
  <si>
    <t>Close</t>
  </si>
  <si>
    <t>Precedents Valuation</t>
  </si>
  <si>
    <t>Current  Price</t>
  </si>
  <si>
    <t>All Share Prices are per SNN ADR (NYSE)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</si>
</sst>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0.0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0" fillId="2" borderId="1" xfId="1" applyFont="1"/>
    <xf numFmtId="165" fontId="0" fillId="0" borderId="0" xfId="0" applyNumberForma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Football</a:t>
            </a:r>
            <a:r>
              <a:rPr lang="en-GB" u="sng" baseline="0"/>
              <a:t> Field Chart of SNN Valuations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tockChart>
        <c:ser>
          <c:idx val="0"/>
          <c:order val="0"/>
          <c:tx>
            <c:strRef>
              <c:f>Valuations!$J$3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Valuations!$I$4:$I$10</c:f>
              <c:strCache>
                <c:ptCount val="7"/>
                <c:pt idx="0">
                  <c:v>52-Week Trading Range</c:v>
                </c:pt>
                <c:pt idx="1">
                  <c:v>Current Analyst Forecast</c:v>
                </c:pt>
                <c:pt idx="2">
                  <c:v>Base DCF</c:v>
                </c:pt>
                <c:pt idx="3">
                  <c:v>SOTP Valuation</c:v>
                </c:pt>
                <c:pt idx="4">
                  <c:v>rNPV SOTP Valuation</c:v>
                </c:pt>
                <c:pt idx="5">
                  <c:v>Comparables Valuation</c:v>
                </c:pt>
                <c:pt idx="6">
                  <c:v>Precedents Valuation</c:v>
                </c:pt>
              </c:strCache>
            </c:strRef>
          </c:cat>
          <c:val>
            <c:numRef>
              <c:f>Valuations!$J$4:$J$10</c:f>
              <c:numCache>
                <c:formatCode>\$0.00</c:formatCode>
                <c:ptCount val="7"/>
                <c:pt idx="0">
                  <c:v>38.79</c:v>
                </c:pt>
                <c:pt idx="1">
                  <c:v>37.5</c:v>
                </c:pt>
                <c:pt idx="2">
                  <c:v>29.815580370856146</c:v>
                </c:pt>
                <c:pt idx="3">
                  <c:v>31.289957948134393</c:v>
                </c:pt>
                <c:pt idx="4">
                  <c:v>48.218527764801131</c:v>
                </c:pt>
                <c:pt idx="5">
                  <c:v>32.872719673751348</c:v>
                </c:pt>
                <c:pt idx="6">
                  <c:v>22.7612940959404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C-4441-A5F6-B9478CAFE8FE}"/>
            </c:ext>
          </c:extLst>
        </c:ser>
        <c:ser>
          <c:idx val="1"/>
          <c:order val="1"/>
          <c:tx>
            <c:strRef>
              <c:f>Valuations!$K$3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30-41AC-9805-CA77ECAC81B0}"/>
                </c:ext>
              </c:extLst>
            </c:dLbl>
            <c:dLbl>
              <c:idx val="1"/>
              <c:layout>
                <c:manualLayout>
                  <c:x val="-5.3765854144681949E-2"/>
                  <c:y val="-2.33544986398705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30-41AC-9805-CA77ECAC8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Valuations!$I$4:$I$10</c:f>
              <c:strCache>
                <c:ptCount val="7"/>
                <c:pt idx="0">
                  <c:v>52-Week Trading Range</c:v>
                </c:pt>
                <c:pt idx="1">
                  <c:v>Current Analyst Forecast</c:v>
                </c:pt>
                <c:pt idx="2">
                  <c:v>Base DCF</c:v>
                </c:pt>
                <c:pt idx="3">
                  <c:v>SOTP Valuation</c:v>
                </c:pt>
                <c:pt idx="4">
                  <c:v>rNPV SOTP Valuation</c:v>
                </c:pt>
                <c:pt idx="5">
                  <c:v>Comparables Valuation</c:v>
                </c:pt>
                <c:pt idx="6">
                  <c:v>Precedents Valuation</c:v>
                </c:pt>
              </c:strCache>
            </c:strRef>
          </c:cat>
          <c:val>
            <c:numRef>
              <c:f>Valuations!$K$4:$K$10</c:f>
              <c:numCache>
                <c:formatCode>\$0.00</c:formatCode>
                <c:ptCount val="7"/>
                <c:pt idx="0">
                  <c:v>38.79</c:v>
                </c:pt>
                <c:pt idx="1">
                  <c:v>37.5</c:v>
                </c:pt>
                <c:pt idx="2">
                  <c:v>29.815580370856146</c:v>
                </c:pt>
                <c:pt idx="3">
                  <c:v>31.289957948134393</c:v>
                </c:pt>
                <c:pt idx="4">
                  <c:v>48.218527764801131</c:v>
                </c:pt>
                <c:pt idx="5">
                  <c:v>32.872719673751348</c:v>
                </c:pt>
                <c:pt idx="6">
                  <c:v>22.7612940959404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C-4441-A5F6-B9478CAFE8FE}"/>
            </c:ext>
          </c:extLst>
        </c:ser>
        <c:ser>
          <c:idx val="2"/>
          <c:order val="2"/>
          <c:tx>
            <c:strRef>
              <c:f>Valuations!$L$3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Valuations!$I$4:$I$10</c:f>
              <c:strCache>
                <c:ptCount val="7"/>
                <c:pt idx="0">
                  <c:v>52-Week Trading Range</c:v>
                </c:pt>
                <c:pt idx="1">
                  <c:v>Current Analyst Forecast</c:v>
                </c:pt>
                <c:pt idx="2">
                  <c:v>Base DCF</c:v>
                </c:pt>
                <c:pt idx="3">
                  <c:v>SOTP Valuation</c:v>
                </c:pt>
                <c:pt idx="4">
                  <c:v>rNPV SOTP Valuation</c:v>
                </c:pt>
                <c:pt idx="5">
                  <c:v>Comparables Valuation</c:v>
                </c:pt>
                <c:pt idx="6">
                  <c:v>Precedents Valuation</c:v>
                </c:pt>
              </c:strCache>
            </c:strRef>
          </c:cat>
          <c:val>
            <c:numRef>
              <c:f>Valuations!$L$4:$L$10</c:f>
              <c:numCache>
                <c:formatCode>\$0.00</c:formatCode>
                <c:ptCount val="7"/>
                <c:pt idx="0">
                  <c:v>23.69</c:v>
                </c:pt>
                <c:pt idx="1">
                  <c:v>27</c:v>
                </c:pt>
                <c:pt idx="2">
                  <c:v>54.299071713281563</c:v>
                </c:pt>
                <c:pt idx="3">
                  <c:v>57.803834666767777</c:v>
                </c:pt>
                <c:pt idx="4">
                  <c:v>55.114556494793902</c:v>
                </c:pt>
                <c:pt idx="5">
                  <c:v>57.761916074100064</c:v>
                </c:pt>
                <c:pt idx="6">
                  <c:v>24.47469949020368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C-4441-A5F6-B9478CAFE8FE}"/>
            </c:ext>
          </c:extLst>
        </c:ser>
        <c:ser>
          <c:idx val="3"/>
          <c:order val="3"/>
          <c:tx>
            <c:strRef>
              <c:f>Valuations!$M$3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30-41AC-9805-CA77ECAC81B0}"/>
                </c:ext>
              </c:extLst>
            </c:dLbl>
            <c:dLbl>
              <c:idx val="1"/>
              <c:layout>
                <c:manualLayout>
                  <c:x val="-5.3765854144681949E-2"/>
                  <c:y val="2.5810932717690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30-41AC-9805-CA77ECAC8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Valuations!$I$4:$I$10</c:f>
              <c:strCache>
                <c:ptCount val="7"/>
                <c:pt idx="0">
                  <c:v>52-Week Trading Range</c:v>
                </c:pt>
                <c:pt idx="1">
                  <c:v>Current Analyst Forecast</c:v>
                </c:pt>
                <c:pt idx="2">
                  <c:v>Base DCF</c:v>
                </c:pt>
                <c:pt idx="3">
                  <c:v>SOTP Valuation</c:v>
                </c:pt>
                <c:pt idx="4">
                  <c:v>rNPV SOTP Valuation</c:v>
                </c:pt>
                <c:pt idx="5">
                  <c:v>Comparables Valuation</c:v>
                </c:pt>
                <c:pt idx="6">
                  <c:v>Precedents Valuation</c:v>
                </c:pt>
              </c:strCache>
            </c:strRef>
          </c:cat>
          <c:val>
            <c:numRef>
              <c:f>Valuations!$M$4:$M$10</c:f>
              <c:numCache>
                <c:formatCode>\$0.00</c:formatCode>
                <c:ptCount val="7"/>
                <c:pt idx="0">
                  <c:v>23.69</c:v>
                </c:pt>
                <c:pt idx="1">
                  <c:v>27</c:v>
                </c:pt>
                <c:pt idx="2">
                  <c:v>54.299071713281563</c:v>
                </c:pt>
                <c:pt idx="3">
                  <c:v>57.803834666767777</c:v>
                </c:pt>
                <c:pt idx="4">
                  <c:v>55.114556494793902</c:v>
                </c:pt>
                <c:pt idx="5">
                  <c:v>57.761916074100064</c:v>
                </c:pt>
                <c:pt idx="6">
                  <c:v>24.47469949020368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C-4441-A5F6-B9478CAFE8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>
                  <a:lumMod val="50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715733071"/>
        <c:axId val="1715739791"/>
      </c:stockChart>
      <c:catAx>
        <c:axId val="171573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39791"/>
        <c:crosses val="autoZero"/>
        <c:auto val="1"/>
        <c:lblAlgn val="ctr"/>
        <c:lblOffset val="100"/>
        <c:noMultiLvlLbl val="0"/>
      </c:catAx>
      <c:valAx>
        <c:axId val="171573979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Price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33071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10506</xdr:colOff>
      <xdr:row>1</xdr:row>
      <xdr:rowOff>106497</xdr:rowOff>
    </xdr:from>
    <xdr:to>
      <xdr:col>7</xdr:col>
      <xdr:colOff>516683</xdr:colOff>
      <xdr:row>30</xdr:row>
      <xdr:rowOff>22523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B078EC-9DDB-CE30-D2FF-9C13B399D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0.14372</cdr:x>
      <cdr:y>0.42858</cdr:y>
    </cdr:from>
    <cdr:to>
      <cdr:x>0.97641</cdr:x>
      <cdr:y>0.42858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1876863C-AF20-762C-9E0D-264112E47177}"/>
            </a:ext>
          </a:extLst>
        </cdr:cNvPr>
        <cdr:cNvCxnSpPr/>
      </cdr:nvCxnSpPr>
      <cdr:spPr>
        <a:xfrm xmlns:a="http://schemas.openxmlformats.org/drawingml/2006/main" flipV="1">
          <a:off x="714391" y="2270991"/>
          <a:ext cx="4139066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0.57905</cdr:x>
      <cdr:y>0.55792</cdr:y>
    </cdr:from>
    <cdr:to>
      <cdr:x>0.76827</cdr:x>
      <cdr:y>0.61147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957ECBF-0635-5360-D8A2-0E64C3F6B2DD}"/>
            </a:ext>
          </a:extLst>
        </cdr:cNvPr>
        <cdr:cNvSpPr txBox="1"/>
      </cdr:nvSpPr>
      <cdr:spPr>
        <a:xfrm xmlns:a="http://schemas.openxmlformats.org/drawingml/2006/main">
          <a:off x="2893721" y="2941975"/>
          <a:ext cx="945600" cy="2823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CC"/>
        </a:solidFill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Current</a:t>
          </a:r>
          <a:r>
            <a:rPr lang="en-GB" sz="1100" kern="1200" baseline="0"/>
            <a:t> Price</a:t>
          </a:r>
        </a:p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0.67251</cdr:x>
      <cdr:y>0.4385</cdr:y>
    </cdr:from>
    <cdr:to>
      <cdr:x>0.67251</cdr:x>
      <cdr:y>0.55792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6AD179B2-9782-6195-3B69-9BE3B0186503}"/>
            </a:ext>
          </a:extLst>
        </cdr:cNvPr>
        <cdr:cNvCxnSpPr>
          <a:stCxn xmlns:a="http://schemas.openxmlformats.org/drawingml/2006/main" id="16" idx="0"/>
        </cdr:cNvCxnSpPr>
      </cdr:nvCxnSpPr>
      <cdr:spPr>
        <a:xfrm xmlns:a="http://schemas.openxmlformats.org/drawingml/2006/main" flipH="1" flipV="1">
          <a:off x="3360767" y="2312276"/>
          <a:ext cx="0" cy="62969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25B1-A29F-4976-B02A-D777918255F5}">
  <dimension ref="I3:M12"/>
  <sheetViews>
    <sheetView showGridLines="0" tabSelected="1" zoomScale="58" zoomScaleNormal="58" workbookViewId="0">
      <selection activeCell="I16" sqref="I16"/>
    </sheetView>
  </sheetViews>
  <sheetFormatPr defaultRowHeight="14.4"/>
  <cols>
    <col min="2" max="2" width="20.88671875" bestFit="1" customWidth="1"/>
    <col min="8" max="8" width="8.88671875" customWidth="1"/>
    <col min="9" max="9" width="47.21875" bestFit="1" customWidth="1"/>
  </cols>
  <sheetData>
    <row r="3" spans="9:13">
      <c r="I3" s="1" t="s">
        <v>12</v>
      </c>
      <c r="J3" t="s">
        <v>6</v>
      </c>
      <c r="K3" t="s">
        <v>7</v>
      </c>
      <c r="L3" t="s">
        <v>8</v>
      </c>
      <c r="M3" t="s">
        <v>9</v>
      </c>
    </row>
    <row r="4" spans="9:13">
      <c r="I4" t="s">
        <v>0</v>
      </c>
      <c r="J4" s="2">
        <v>38.79</v>
      </c>
      <c r="K4" s="2">
        <f>J4</f>
        <v>38.79</v>
      </c>
      <c r="L4" s="2">
        <v>23.69</v>
      </c>
      <c r="M4" s="2">
        <f>L4</f>
        <v>23.69</v>
      </c>
    </row>
    <row r="5" spans="9:13">
      <c r="I5" t="s">
        <v>1</v>
      </c>
      <c r="J5" s="2">
        <v>37.5</v>
      </c>
      <c r="K5" s="2">
        <f>J5</f>
        <v>37.5</v>
      </c>
      <c r="L5" s="2">
        <v>27</v>
      </c>
      <c r="M5" s="2">
        <f>L5</f>
        <v>27</v>
      </c>
    </row>
    <row r="6" spans="9:13">
      <c r="I6" t="s">
        <v>2</v>
      </c>
      <c r="J6" s="2">
        <v>29.815580370856146</v>
      </c>
      <c r="K6" s="2">
        <f t="shared" ref="K6:K9" si="0">J6</f>
        <v>29.815580370856146</v>
      </c>
      <c r="L6" s="2">
        <v>54.299071713281563</v>
      </c>
      <c r="M6" s="2">
        <f t="shared" ref="M6:M9" si="1">L6</f>
        <v>54.299071713281563</v>
      </c>
    </row>
    <row r="7" spans="9:13">
      <c r="I7" t="s">
        <v>3</v>
      </c>
      <c r="J7" s="2">
        <v>31.289957948134393</v>
      </c>
      <c r="K7" s="2">
        <f t="shared" si="0"/>
        <v>31.289957948134393</v>
      </c>
      <c r="L7" s="2">
        <v>57.803834666767777</v>
      </c>
      <c r="M7" s="2">
        <f t="shared" si="1"/>
        <v>57.803834666767777</v>
      </c>
    </row>
    <row r="8" spans="9:13">
      <c r="I8" t="s">
        <v>4</v>
      </c>
      <c r="J8" s="2">
        <v>48.218527764801131</v>
      </c>
      <c r="K8" s="2">
        <f t="shared" si="0"/>
        <v>48.218527764801131</v>
      </c>
      <c r="L8" s="2">
        <v>55.114556494793902</v>
      </c>
      <c r="M8" s="2">
        <f t="shared" si="1"/>
        <v>55.114556494793902</v>
      </c>
    </row>
    <row r="9" spans="9:13">
      <c r="I9" t="s">
        <v>5</v>
      </c>
      <c r="J9" s="2">
        <v>32.872719673751348</v>
      </c>
      <c r="K9" s="2">
        <f t="shared" si="0"/>
        <v>32.872719673751348</v>
      </c>
      <c r="L9" s="2">
        <v>57.761916074100064</v>
      </c>
      <c r="M9" s="2">
        <f t="shared" si="1"/>
        <v>57.761916074100064</v>
      </c>
    </row>
    <row r="10" spans="9:13">
      <c r="I10" t="s">
        <v>10</v>
      </c>
      <c r="J10" s="2">
        <v>22.7612940959404</v>
      </c>
      <c r="K10" s="2">
        <f>J10</f>
        <v>22.7612940959404</v>
      </c>
      <c r="L10" s="2">
        <v>24.47469949020368</v>
      </c>
      <c r="M10" s="2">
        <f>L10</f>
        <v>24.47469949020368</v>
      </c>
    </row>
    <row r="11" spans="9:13">
      <c r="J11" s="2"/>
      <c r="K11" s="2"/>
      <c r="L11" s="2"/>
      <c r="M11" s="2"/>
    </row>
    <row r="12" spans="9:13">
      <c r="I12" t="s">
        <v>11</v>
      </c>
      <c r="J12" s="2">
        <v>36.82</v>
      </c>
      <c r="K12" s="2"/>
      <c r="L12" s="2"/>
      <c r="M12" s="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Davis</dc:creator>
  <cp:lastModifiedBy>Xavier Davis</cp:lastModifiedBy>
  <dcterms:created xsi:type="dcterms:W3CDTF">2025-11-13T12:09:50Z</dcterms:created>
  <dcterms:modified xsi:type="dcterms:W3CDTF">2025-11-13T13:33:13Z</dcterms:modified>
</cp:coreProperties>
</file>